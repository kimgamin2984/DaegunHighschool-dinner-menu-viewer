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학반 시간표" sheetId="1" r:id="rId4"/>
    <sheet state="visible" name="출력" sheetId="2" r:id="rId5"/>
    <sheet state="hidden" name="선택과목 묶음" sheetId="3" r:id="rId6"/>
    <sheet state="hidden" name="Sheet2" sheetId="4" r:id="rId7"/>
  </sheets>
  <definedNames/>
  <calcPr/>
</workbook>
</file>

<file path=xl/sharedStrings.xml><?xml version="1.0" encoding="utf-8"?>
<sst xmlns="http://schemas.openxmlformats.org/spreadsheetml/2006/main" count="1614" uniqueCount="196">
  <si>
    <t>학반</t>
  </si>
  <si>
    <t>월</t>
  </si>
  <si>
    <t>화</t>
  </si>
  <si>
    <t>수</t>
  </si>
  <si>
    <t>목</t>
  </si>
  <si>
    <t>금</t>
  </si>
  <si>
    <t>담임</t>
  </si>
  <si>
    <t>1-1</t>
  </si>
  <si>
    <t>자율활동</t>
  </si>
  <si>
    <t>체육1</t>
  </si>
  <si>
    <t>공강</t>
  </si>
  <si>
    <t>통합과학1</t>
  </si>
  <si>
    <t>통합사회1</t>
  </si>
  <si>
    <t>공통영어1</t>
  </si>
  <si>
    <t>공통국어1</t>
  </si>
  <si>
    <t>한국사1</t>
  </si>
  <si>
    <t>음악</t>
  </si>
  <si>
    <t>공통수학1</t>
  </si>
  <si>
    <t>진로활동</t>
  </si>
  <si>
    <t>정보와디지털문해력</t>
  </si>
  <si>
    <t>과학탐구실험1</t>
  </si>
  <si>
    <t>동아리</t>
  </si>
  <si>
    <t>김윤식</t>
  </si>
  <si>
    <t>김한복</t>
  </si>
  <si>
    <t>정민준</t>
  </si>
  <si>
    <t>김수연(생)</t>
  </si>
  <si>
    <t>김태윤</t>
  </si>
  <si>
    <t>배서영</t>
  </si>
  <si>
    <t>김지현</t>
  </si>
  <si>
    <t>박시욱</t>
  </si>
  <si>
    <t>정중흠</t>
  </si>
  <si>
    <t>김대일</t>
  </si>
  <si>
    <t>최병곤</t>
  </si>
  <si>
    <t>김서율</t>
  </si>
  <si>
    <t>최영일</t>
  </si>
  <si>
    <t>정희경</t>
  </si>
  <si>
    <t>정성민</t>
  </si>
  <si>
    <t>윤석준</t>
  </si>
  <si>
    <t>1-2</t>
  </si>
  <si>
    <t>김성민</t>
  </si>
  <si>
    <t>1-3</t>
  </si>
  <si>
    <t>김재연</t>
  </si>
  <si>
    <t>1-4</t>
  </si>
  <si>
    <t>박진우</t>
  </si>
  <si>
    <t>박인영</t>
  </si>
  <si>
    <t>1-5</t>
  </si>
  <si>
    <t>이철주</t>
  </si>
  <si>
    <t>김정화</t>
  </si>
  <si>
    <t>신자영</t>
  </si>
  <si>
    <t>권정훈</t>
  </si>
  <si>
    <t>1-6</t>
  </si>
  <si>
    <t>생활과인성Ⅰ</t>
  </si>
  <si>
    <t>장개석</t>
  </si>
  <si>
    <t>이인옥</t>
  </si>
  <si>
    <t>1-7</t>
  </si>
  <si>
    <t>전민재</t>
  </si>
  <si>
    <t>1-8</t>
  </si>
  <si>
    <t>류호찬</t>
  </si>
  <si>
    <t>1-9</t>
  </si>
  <si>
    <t>박선배</t>
  </si>
  <si>
    <t>배호섭</t>
  </si>
  <si>
    <t>2-1</t>
  </si>
  <si>
    <t>선택 A</t>
  </si>
  <si>
    <t>선택 C</t>
  </si>
  <si>
    <t>선택 D</t>
  </si>
  <si>
    <t>선택 G</t>
  </si>
  <si>
    <t>선택 E</t>
  </si>
  <si>
    <t>선택 F</t>
  </si>
  <si>
    <t>선택 B</t>
  </si>
  <si>
    <t>선택 H</t>
  </si>
  <si>
    <t>하수형</t>
  </si>
  <si>
    <t>2-2</t>
  </si>
  <si>
    <t>권오성</t>
  </si>
  <si>
    <t>2-3</t>
  </si>
  <si>
    <t>정진수</t>
  </si>
  <si>
    <t>2-4</t>
  </si>
  <si>
    <t>정다현</t>
  </si>
  <si>
    <t>2-5</t>
  </si>
  <si>
    <t>김진영</t>
  </si>
  <si>
    <t>2-6</t>
  </si>
  <si>
    <t>이진아</t>
  </si>
  <si>
    <t>2-7</t>
  </si>
  <si>
    <t>2-8</t>
  </si>
  <si>
    <t>2-9</t>
  </si>
  <si>
    <t>신동호</t>
  </si>
  <si>
    <t>3-1</t>
  </si>
  <si>
    <t>문학개론</t>
  </si>
  <si>
    <t>체육 탐구</t>
  </si>
  <si>
    <t>3-2</t>
  </si>
  <si>
    <t>강민석</t>
  </si>
  <si>
    <t>3-3</t>
  </si>
  <si>
    <t>양성문</t>
  </si>
  <si>
    <t>3-4</t>
  </si>
  <si>
    <t>나호원</t>
  </si>
  <si>
    <t>3-5</t>
  </si>
  <si>
    <t>장현갑</t>
  </si>
  <si>
    <t>3-6</t>
  </si>
  <si>
    <t>박서우</t>
  </si>
  <si>
    <t>이혜림</t>
  </si>
  <si>
    <t>3-7</t>
  </si>
  <si>
    <t>김준용</t>
  </si>
  <si>
    <t>3-8</t>
  </si>
  <si>
    <t>김동규</t>
  </si>
  <si>
    <t>3-9</t>
  </si>
  <si>
    <t>배민심</t>
  </si>
  <si>
    <r>
      <rPr>
        <rFont val="HY견고딕"/>
        <color/>
        <sz val="36.0"/>
      </rPr>
      <t>학반 시간표</t>
    </r>
    <r>
      <rPr>
        <rFont val="HY견고딕"/>
        <color/>
        <sz val="12.0"/>
      </rPr>
      <t>_v2</t>
    </r>
  </si>
  <si>
    <t>2학년 5반</t>
  </si>
  <si>
    <t>2026학년도 1학기 임시</t>
  </si>
  <si>
    <t>&lt;학반 내 게시&gt;</t>
  </si>
  <si>
    <t>*</t>
  </si>
  <si>
    <t>1학년 1반</t>
  </si>
  <si>
    <t>1학년 2반</t>
  </si>
  <si>
    <t>1학년 3반</t>
  </si>
  <si>
    <t>1학년 4반</t>
  </si>
  <si>
    <t>1학년 5반</t>
  </si>
  <si>
    <t>1학년 6반</t>
  </si>
  <si>
    <t>1학년 7반</t>
  </si>
  <si>
    <t>1학년 8반</t>
  </si>
  <si>
    <t>1학년 9반</t>
  </si>
  <si>
    <t>2학년 1반</t>
  </si>
  <si>
    <t>2학년 2반</t>
  </si>
  <si>
    <t>2학년 3반</t>
  </si>
  <si>
    <t>2학년 4반</t>
  </si>
  <si>
    <t>2학년 6반</t>
  </si>
  <si>
    <t>2학년 7반</t>
  </si>
  <si>
    <t>2학년 8반</t>
  </si>
  <si>
    <t>2학년 9반</t>
  </si>
  <si>
    <t>3학년 1반</t>
  </si>
  <si>
    <t>3학년 2반</t>
  </si>
  <si>
    <t>3학년 3반</t>
  </si>
  <si>
    <t>3학년 4반</t>
  </si>
  <si>
    <t>3학년 5반</t>
  </si>
  <si>
    <t>3학년 6반</t>
  </si>
  <si>
    <t>3학년 7반</t>
  </si>
  <si>
    <t>3학년 8반</t>
  </si>
  <si>
    <t>3학년 9반</t>
  </si>
  <si>
    <t>2학년 선택</t>
  </si>
  <si>
    <t>1반</t>
  </si>
  <si>
    <t>2반</t>
  </si>
  <si>
    <t>3반</t>
  </si>
  <si>
    <t>4반</t>
  </si>
  <si>
    <t>5반</t>
  </si>
  <si>
    <t>6반</t>
  </si>
  <si>
    <t>7반</t>
  </si>
  <si>
    <t>8반</t>
  </si>
  <si>
    <t>9반</t>
  </si>
  <si>
    <t>A</t>
  </si>
  <si>
    <t>생명과학</t>
  </si>
  <si>
    <t>미적분Ⅰ</t>
  </si>
  <si>
    <t>생활과 인성Ⅰ</t>
  </si>
  <si>
    <t>예술진체</t>
  </si>
  <si>
    <t>대수</t>
  </si>
  <si>
    <t>현대사회와 윤리</t>
  </si>
  <si>
    <t>영어Ⅰ</t>
  </si>
  <si>
    <t>화학</t>
  </si>
  <si>
    <t>B</t>
  </si>
  <si>
    <t>물리학</t>
  </si>
  <si>
    <t>질문 기반 주제 탐구</t>
  </si>
  <si>
    <t>문학</t>
  </si>
  <si>
    <t>사회와 문화</t>
  </si>
  <si>
    <t>인공지능 교과 탐구</t>
  </si>
  <si>
    <t>C</t>
  </si>
  <si>
    <t>세계시민과 지리</t>
  </si>
  <si>
    <t>세계사</t>
  </si>
  <si>
    <t>D</t>
  </si>
  <si>
    <t>인공지능 기초</t>
  </si>
  <si>
    <t>E</t>
  </si>
  <si>
    <t>지구과학</t>
  </si>
  <si>
    <t>F</t>
  </si>
  <si>
    <t>G</t>
  </si>
  <si>
    <t>H</t>
  </si>
  <si>
    <t>매체 의사소통</t>
  </si>
  <si>
    <t>3학년 선택</t>
  </si>
  <si>
    <t>모둠학습</t>
  </si>
  <si>
    <t>언어와 매체</t>
  </si>
  <si>
    <t>수학과제 탐구</t>
  </si>
  <si>
    <t>심화 영어 독해Ⅰ</t>
  </si>
  <si>
    <t>경제 수학</t>
  </si>
  <si>
    <t>확률과 통계</t>
  </si>
  <si>
    <t>심화 수학Ⅰ</t>
  </si>
  <si>
    <t>심화 영어Ⅰ</t>
  </si>
  <si>
    <t>현대문학 감상</t>
  </si>
  <si>
    <t>화법과 작문</t>
  </si>
  <si>
    <t>인공지능 수학</t>
  </si>
  <si>
    <t>생활과 윤리</t>
  </si>
  <si>
    <t>사회문제 탐구</t>
  </si>
  <si>
    <t>현대 세계의 변화</t>
  </si>
  <si>
    <t>화학Ⅱ</t>
  </si>
  <si>
    <t>생명과학Ⅱ</t>
  </si>
  <si>
    <t>지구과학Ⅱ</t>
  </si>
  <si>
    <t>융합과학</t>
  </si>
  <si>
    <t>데이터 과학과 머신러닝</t>
  </si>
  <si>
    <t>비교문화</t>
  </si>
  <si>
    <t>물리학Ⅱ</t>
  </si>
  <si>
    <t>여행지리</t>
  </si>
  <si>
    <t>&lt;강의실 안내&gt;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</si>
</sst>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"/>
  </numFmts>
  <fonts count="12">
    <font>
      <sz val="11.0"/>
      <color/>
      <name val="Arial"/>
      <scheme val="minor"/>
    </font>
    <font>
      <sz val="11.0"/>
      <color/>
      <name val="Malgun Gothic"/>
    </font>
    <font>
      <sz val="36.0"/>
      <color/>
      <name val="HY견고딕"/>
    </font>
    <font>
      <b/>
      <sz val="16.0"/>
      <color/>
      <name val="Malgun Gothic"/>
    </font>
    <font>
      <sz val="12.0"/>
      <color/>
      <name val="HY견고딕"/>
    </font>
    <font>
      <sz val="18.0"/>
      <color/>
      <name val="HY견고딕"/>
    </font>
    <font/>
    <font>
      <sz val="16.0"/>
      <color/>
      <name val="HY견고딕"/>
    </font>
    <font>
      <sz val="14.0"/>
      <color/>
      <name val="HY견고딕"/>
    </font>
    <font>
      <sz val="11.0"/>
      <color/>
      <name val="HY견고딕"/>
    </font>
    <font>
      <sz val="11.0"/>
      <color rgb="FF000000"/>
      <name val="Malgun Gothic"/>
    </font>
    <font>
      <b/>
      <sz val="11.0"/>
      <color/>
      <name val="Malgun Gothic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1C1"/>
        <bgColor rgb="FFFFC1C1"/>
      </patternFill>
    </fill>
    <fill>
      <patternFill patternType="solid">
        <fgColor rgb="FFFF8040"/>
        <bgColor rgb="FFFF8040"/>
      </patternFill>
    </fill>
    <fill>
      <patternFill patternType="solid">
        <fgColor rgb="FFFEEFC0"/>
        <bgColor rgb="FFFEEFC0"/>
      </patternFill>
    </fill>
    <fill>
      <patternFill patternType="solid">
        <fgColor rgb="FF80FFFF"/>
        <bgColor rgb="FF80FFFF"/>
      </patternFill>
    </fill>
    <fill>
      <patternFill patternType="solid">
        <fgColor rgb="FF80FF80"/>
        <bgColor rgb="FF80FF80"/>
      </patternFill>
    </fill>
    <fill>
      <patternFill patternType="solid">
        <fgColor rgb="FF18CD81"/>
        <bgColor rgb="FF18CD81"/>
      </patternFill>
    </fill>
    <fill>
      <patternFill patternType="solid">
        <fgColor rgb="FFFF0000"/>
        <bgColor rgb="FFFF0000"/>
      </patternFill>
    </fill>
    <fill>
      <patternFill patternType="solid">
        <fgColor rgb="FF0080FF"/>
        <bgColor rgb="FF0080FF"/>
      </patternFill>
    </fill>
    <fill>
      <patternFill patternType="solid">
        <fgColor rgb="FF008000"/>
        <bgColor rgb="FF008000"/>
      </patternFill>
    </fill>
    <fill>
      <patternFill patternType="solid">
        <fgColor rgb="FFFF80C0"/>
        <bgColor rgb="FFFF80C0"/>
      </patternFill>
    </fill>
    <fill>
      <patternFill patternType="solid">
        <fgColor rgb="FF8080FF"/>
        <bgColor rgb="FF8080FF"/>
      </patternFill>
    </fill>
    <fill>
      <patternFill patternType="solid">
        <fgColor rgb="FF00FF00"/>
        <bgColor rgb="FF00FF00"/>
      </patternFill>
    </fill>
    <fill>
      <patternFill patternType="solid">
        <fgColor rgb="FFFF0080"/>
        <bgColor rgb="FFFF0080"/>
      </patternFill>
    </fill>
    <fill>
      <patternFill patternType="solid">
        <fgColor rgb="FFEBB629"/>
        <bgColor rgb="FFEBB629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56">
    <border/>
    <border>
      <left/>
      <right/>
      <top/>
      <bottom/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double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double">
        <color rgb="FF000000"/>
      </right>
      <bottom style="hair">
        <color rgb="FF000000"/>
      </bottom>
    </border>
    <border>
      <left style="medium">
        <color rgb="FF000000"/>
      </left>
      <right style="double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double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double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0" fontId="1" numFmtId="49" xfId="0" applyAlignment="1" applyBorder="1" applyFont="1" applyNumberFormat="1">
      <alignment horizontal="center" shrinkToFit="0" vertical="center" wrapText="1"/>
    </xf>
    <xf borderId="3" fillId="0" fontId="1" numFmtId="49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6" fillId="0" fontId="1" numFmtId="49" xfId="0" applyAlignment="1" applyBorder="1" applyFont="1" applyNumberFormat="1">
      <alignment horizontal="center" shrinkToFit="0" vertical="center" wrapText="1"/>
    </xf>
    <xf borderId="7" fillId="0" fontId="1" numFmtId="49" xfId="0" applyAlignment="1" applyBorder="1" applyFont="1" applyNumberFormat="1">
      <alignment horizontal="center" shrinkToFit="0" vertical="center" wrapText="1"/>
    </xf>
    <xf borderId="8" fillId="0" fontId="1" numFmtId="49" xfId="0" applyAlignment="1" applyBorder="1" applyFont="1" applyNumberFormat="1">
      <alignment horizontal="center" shrinkToFit="0" vertical="center" wrapText="1"/>
    </xf>
    <xf borderId="9" fillId="0" fontId="1" numFmtId="49" xfId="0" applyAlignment="1" applyBorder="1" applyFont="1" applyNumberFormat="1">
      <alignment horizontal="center" shrinkToFit="0" vertical="center" wrapText="1"/>
    </xf>
    <xf borderId="10" fillId="0" fontId="1" numFmtId="49" xfId="0" applyAlignment="1" applyBorder="1" applyFont="1" applyNumberFormat="1">
      <alignment horizontal="center" shrinkToFit="0" vertical="center" wrapText="1"/>
    </xf>
    <xf borderId="11" fillId="3" fontId="1" numFmtId="49" xfId="0" applyAlignment="1" applyBorder="1" applyFill="1" applyFont="1" applyNumberFormat="1">
      <alignment horizontal="center" shrinkToFit="0" vertical="center" wrapText="1"/>
    </xf>
    <xf borderId="11" fillId="4" fontId="1" numFmtId="49" xfId="0" applyAlignment="1" applyBorder="1" applyFill="1" applyFont="1" applyNumberFormat="1">
      <alignment horizontal="center" shrinkToFit="0" vertical="center" wrapText="1"/>
    </xf>
    <xf borderId="11" fillId="5" fontId="1" numFmtId="49" xfId="0" applyAlignment="1" applyBorder="1" applyFill="1" applyFont="1" applyNumberFormat="1">
      <alignment horizontal="center" shrinkToFit="0" vertical="center" wrapText="1"/>
    </xf>
    <xf borderId="11" fillId="6" fontId="1" numFmtId="49" xfId="0" applyAlignment="1" applyBorder="1" applyFill="1" applyFont="1" applyNumberFormat="1">
      <alignment horizontal="center" shrinkToFit="0" vertical="center" wrapText="1"/>
    </xf>
    <xf borderId="11" fillId="7" fontId="1" numFmtId="49" xfId="0" applyAlignment="1" applyBorder="1" applyFill="1" applyFont="1" applyNumberFormat="1">
      <alignment horizontal="center" shrinkToFit="0" vertical="center" wrapText="1"/>
    </xf>
    <xf borderId="12" fillId="8" fontId="1" numFmtId="49" xfId="0" applyAlignment="1" applyBorder="1" applyFill="1" applyFont="1" applyNumberFormat="1">
      <alignment horizontal="center" shrinkToFit="0" vertical="center" wrapText="1"/>
    </xf>
    <xf borderId="11" fillId="9" fontId="1" numFmtId="49" xfId="0" applyAlignment="1" applyBorder="1" applyFill="1" applyFont="1" applyNumberFormat="1">
      <alignment horizontal="center" shrinkToFit="0" vertical="center" wrapText="1"/>
    </xf>
    <xf borderId="12" fillId="10" fontId="1" numFmtId="49" xfId="0" applyAlignment="1" applyBorder="1" applyFill="1" applyFont="1" applyNumberFormat="1">
      <alignment horizontal="center" shrinkToFit="0" vertical="center" wrapText="1"/>
    </xf>
    <xf borderId="13" fillId="3" fontId="1" numFmtId="49" xfId="0" applyAlignment="1" applyBorder="1" applyFont="1" applyNumberFormat="1">
      <alignment horizontal="center" shrinkToFit="0" vertical="center" wrapText="1"/>
    </xf>
    <xf borderId="13" fillId="4" fontId="1" numFmtId="49" xfId="0" applyAlignment="1" applyBorder="1" applyFont="1" applyNumberFormat="1">
      <alignment horizontal="center" shrinkToFit="0" vertical="center" wrapText="1"/>
    </xf>
    <xf borderId="13" fillId="5" fontId="1" numFmtId="49" xfId="0" applyAlignment="1" applyBorder="1" applyFont="1" applyNumberFormat="1">
      <alignment horizontal="center" shrinkToFit="0" vertical="center" wrapText="1"/>
    </xf>
    <xf borderId="13" fillId="6" fontId="1" numFmtId="49" xfId="0" applyAlignment="1" applyBorder="1" applyFont="1" applyNumberFormat="1">
      <alignment horizontal="center" shrinkToFit="0" vertical="center" wrapText="1"/>
    </xf>
    <xf borderId="13" fillId="7" fontId="1" numFmtId="49" xfId="0" applyAlignment="1" applyBorder="1" applyFont="1" applyNumberFormat="1">
      <alignment horizontal="center" shrinkToFit="0" vertical="center" wrapText="1"/>
    </xf>
    <xf borderId="14" fillId="8" fontId="1" numFmtId="49" xfId="0" applyAlignment="1" applyBorder="1" applyFont="1" applyNumberFormat="1">
      <alignment horizontal="center" shrinkToFit="0" vertical="center" wrapText="1"/>
    </xf>
    <xf borderId="13" fillId="9" fontId="1" numFmtId="49" xfId="0" applyAlignment="1" applyBorder="1" applyFont="1" applyNumberFormat="1">
      <alignment horizontal="center" shrinkToFit="0" vertical="center" wrapText="1"/>
    </xf>
    <xf borderId="14" fillId="10" fontId="1" numFmtId="49" xfId="0" applyAlignment="1" applyBorder="1" applyFont="1" applyNumberFormat="1">
      <alignment horizontal="center" shrinkToFit="0" vertical="center" wrapText="1"/>
    </xf>
    <xf borderId="15" fillId="3" fontId="1" numFmtId="49" xfId="0" applyAlignment="1" applyBorder="1" applyFont="1" applyNumberFormat="1">
      <alignment horizontal="center" shrinkToFit="0" vertical="center" wrapText="1"/>
    </xf>
    <xf borderId="11" fillId="11" fontId="1" numFmtId="49" xfId="0" applyAlignment="1" applyBorder="1" applyFill="1" applyFont="1" applyNumberFormat="1">
      <alignment horizontal="center" shrinkToFit="0" vertical="center" wrapText="1"/>
    </xf>
    <xf borderId="11" fillId="12" fontId="1" numFmtId="49" xfId="0" applyAlignment="1" applyBorder="1" applyFill="1" applyFont="1" applyNumberFormat="1">
      <alignment horizontal="center" shrinkToFit="0" vertical="center" wrapText="1"/>
    </xf>
    <xf borderId="11" fillId="13" fontId="1" numFmtId="49" xfId="0" applyAlignment="1" applyBorder="1" applyFill="1" applyFont="1" applyNumberFormat="1">
      <alignment horizontal="center" shrinkToFit="0" vertical="center" wrapText="1"/>
    </xf>
    <xf borderId="11" fillId="2" fontId="1" numFmtId="49" xfId="0" applyAlignment="1" applyBorder="1" applyFont="1" applyNumberFormat="1">
      <alignment horizontal="center" shrinkToFit="0" vertical="center" wrapText="1"/>
    </xf>
    <xf borderId="11" fillId="14" fontId="1" numFmtId="49" xfId="0" applyAlignment="1" applyBorder="1" applyFill="1" applyFont="1" applyNumberFormat="1">
      <alignment horizontal="center" shrinkToFit="0" vertical="center" wrapText="1"/>
    </xf>
    <xf borderId="11" fillId="15" fontId="1" numFmtId="49" xfId="0" applyAlignment="1" applyBorder="1" applyFill="1" applyFont="1" applyNumberFormat="1">
      <alignment horizontal="center" shrinkToFit="0" vertical="center" wrapText="1"/>
    </xf>
    <xf borderId="11" fillId="16" fontId="1" numFmtId="49" xfId="0" applyAlignment="1" applyBorder="1" applyFill="1" applyFont="1" applyNumberFormat="1">
      <alignment horizontal="center" shrinkToFit="0" vertical="center" wrapText="1"/>
    </xf>
    <xf borderId="13" fillId="11" fontId="1" numFmtId="49" xfId="0" applyAlignment="1" applyBorder="1" applyFont="1" applyNumberFormat="1">
      <alignment horizontal="center" shrinkToFit="0" vertical="center" wrapText="1"/>
    </xf>
    <xf borderId="13" fillId="12" fontId="1" numFmtId="49" xfId="0" applyAlignment="1" applyBorder="1" applyFont="1" applyNumberFormat="1">
      <alignment horizontal="center" shrinkToFit="0" vertical="center" wrapText="1"/>
    </xf>
    <xf borderId="13" fillId="13" fontId="1" numFmtId="49" xfId="0" applyAlignment="1" applyBorder="1" applyFont="1" applyNumberFormat="1">
      <alignment horizontal="center" shrinkToFit="0" vertical="center" wrapText="1"/>
    </xf>
    <xf borderId="13" fillId="2" fontId="1" numFmtId="49" xfId="0" applyAlignment="1" applyBorder="1" applyFont="1" applyNumberFormat="1">
      <alignment horizontal="center" shrinkToFit="0" vertical="center" wrapText="1"/>
    </xf>
    <xf borderId="13" fillId="14" fontId="1" numFmtId="49" xfId="0" applyAlignment="1" applyBorder="1" applyFont="1" applyNumberFormat="1">
      <alignment horizontal="center" shrinkToFit="0" vertical="center" wrapText="1"/>
    </xf>
    <xf borderId="13" fillId="15" fontId="1" numFmtId="49" xfId="0" applyAlignment="1" applyBorder="1" applyFont="1" applyNumberFormat="1">
      <alignment horizontal="center" shrinkToFit="0" vertical="center" wrapText="1"/>
    </xf>
    <xf borderId="13" fillId="16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7" fillId="17" fontId="5" numFmtId="0" xfId="0" applyAlignment="1" applyBorder="1" applyFill="1" applyFont="1">
      <alignment horizontal="center" vertical="center"/>
    </xf>
    <xf borderId="18" fillId="0" fontId="6" numFmtId="0" xfId="0" applyAlignment="1" applyBorder="1" applyFont="1">
      <alignment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vertical="center"/>
    </xf>
    <xf borderId="19" fillId="18" fontId="7" numFmtId="0" xfId="0" applyAlignment="1" applyBorder="1" applyFill="1" applyFont="1">
      <alignment horizontal="center" vertical="center"/>
    </xf>
    <xf borderId="20" fillId="18" fontId="7" numFmtId="0" xfId="0" applyAlignment="1" applyBorder="1" applyFont="1">
      <alignment horizontal="center" vertical="center"/>
    </xf>
    <xf borderId="21" fillId="18" fontId="7" numFmtId="0" xfId="0" applyAlignment="1" applyBorder="1" applyFont="1">
      <alignment horizontal="center" vertical="center"/>
    </xf>
    <xf borderId="22" fillId="18" fontId="7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center" vertical="center"/>
    </xf>
    <xf borderId="24" fillId="0" fontId="8" numFmtId="164" xfId="0" applyAlignment="1" applyBorder="1" applyFont="1" applyNumberFormat="1">
      <alignment horizontal="center" shrinkToFit="1" vertical="center" wrapText="0"/>
    </xf>
    <xf borderId="25" fillId="0" fontId="8" numFmtId="164" xfId="0" applyAlignment="1" applyBorder="1" applyFont="1" applyNumberFormat="1">
      <alignment horizontal="center" shrinkToFit="1" vertical="center" wrapText="0"/>
    </xf>
    <xf borderId="26" fillId="0" fontId="8" numFmtId="164" xfId="0" applyAlignment="1" applyBorder="1" applyFont="1" applyNumberFormat="1">
      <alignment horizontal="center" shrinkToFit="1" vertical="center" wrapText="0"/>
    </xf>
    <xf borderId="27" fillId="0" fontId="6" numFmtId="0" xfId="0" applyAlignment="1" applyBorder="1" applyFont="1">
      <alignment vertical="center"/>
    </xf>
    <xf borderId="24" fillId="0" fontId="9" numFmtId="164" xfId="0" applyAlignment="1" applyBorder="1" applyFont="1" applyNumberFormat="1">
      <alignment horizontal="center" shrinkToFit="1" vertical="center" wrapText="0"/>
    </xf>
    <xf borderId="25" fillId="0" fontId="9" numFmtId="164" xfId="0" applyAlignment="1" applyBorder="1" applyFont="1" applyNumberFormat="1">
      <alignment horizontal="center" shrinkToFit="1" vertical="center" wrapText="0"/>
    </xf>
    <xf borderId="26" fillId="0" fontId="9" numFmtId="164" xfId="0" applyAlignment="1" applyBorder="1" applyFont="1" applyNumberFormat="1">
      <alignment horizontal="center" shrinkToFit="1" vertical="center" wrapText="0"/>
    </xf>
    <xf borderId="28" fillId="18" fontId="7" numFmtId="0" xfId="0" applyAlignment="1" applyBorder="1" applyFont="1">
      <alignment horizontal="center" vertical="center"/>
    </xf>
    <xf borderId="29" fillId="18" fontId="8" numFmtId="164" xfId="0" applyAlignment="1" applyBorder="1" applyFont="1" applyNumberFormat="1">
      <alignment horizontal="center" shrinkToFit="1" vertical="center" wrapText="0"/>
    </xf>
    <xf borderId="30" fillId="18" fontId="8" numFmtId="164" xfId="0" applyAlignment="1" applyBorder="1" applyFont="1" applyNumberFormat="1">
      <alignment horizontal="center" shrinkToFit="1" vertical="center" wrapText="0"/>
    </xf>
    <xf borderId="31" fillId="18" fontId="8" numFmtId="164" xfId="0" applyAlignment="1" applyBorder="1" applyFont="1" applyNumberFormat="1">
      <alignment horizontal="center" shrinkToFit="1" vertical="center" wrapText="0"/>
    </xf>
    <xf borderId="32" fillId="0" fontId="6" numFmtId="0" xfId="0" applyAlignment="1" applyBorder="1" applyFont="1">
      <alignment vertical="center"/>
    </xf>
    <xf borderId="33" fillId="18" fontId="9" numFmtId="164" xfId="0" applyAlignment="1" applyBorder="1" applyFont="1" applyNumberFormat="1">
      <alignment horizontal="center" shrinkToFit="1" vertical="center" wrapText="0"/>
    </xf>
    <xf borderId="34" fillId="18" fontId="9" numFmtId="164" xfId="0" applyAlignment="1" applyBorder="1" applyFont="1" applyNumberFormat="1">
      <alignment horizontal="center" shrinkToFit="1" vertical="center" wrapText="0"/>
    </xf>
    <xf borderId="35" fillId="18" fontId="9" numFmtId="164" xfId="0" applyAlignment="1" applyBorder="1" applyFont="1" applyNumberFormat="1">
      <alignment horizontal="center" shrinkToFit="1" vertical="center" wrapText="0"/>
    </xf>
    <xf borderId="36" fillId="0" fontId="6" numFmtId="0" xfId="0" applyAlignment="1" applyBorder="1" applyFont="1">
      <alignment vertical="center"/>
    </xf>
    <xf borderId="37" fillId="0" fontId="9" numFmtId="164" xfId="0" applyAlignment="1" applyBorder="1" applyFont="1" applyNumberFormat="1">
      <alignment horizontal="center" shrinkToFit="1" vertical="center" wrapText="0"/>
    </xf>
    <xf borderId="38" fillId="0" fontId="9" numFmtId="164" xfId="0" applyAlignment="1" applyBorder="1" applyFont="1" applyNumberFormat="1">
      <alignment horizontal="center" shrinkToFit="1" vertical="center" wrapText="0"/>
    </xf>
    <xf borderId="39" fillId="0" fontId="9" numFmtId="164" xfId="0" applyAlignment="1" applyBorder="1" applyFont="1" applyNumberFormat="1">
      <alignment horizontal="center" shrinkToFit="1" vertical="center" wrapText="0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shrinkToFit="1" vertical="center" wrapText="0"/>
    </xf>
    <xf borderId="40" fillId="0" fontId="10" numFmtId="0" xfId="0" applyAlignment="1" applyBorder="1" applyFont="1">
      <alignment horizontal="center" shrinkToFit="1" vertical="center" wrapText="0"/>
    </xf>
    <xf borderId="41" fillId="0" fontId="10" numFmtId="0" xfId="0" applyAlignment="1" applyBorder="1" applyFont="1">
      <alignment horizontal="center" shrinkToFit="1" vertical="center" wrapText="0"/>
    </xf>
    <xf borderId="42" fillId="0" fontId="10" numFmtId="0" xfId="0" applyAlignment="1" applyBorder="1" applyFont="1">
      <alignment horizontal="center" shrinkToFit="1" vertical="center" wrapText="0"/>
    </xf>
    <xf borderId="43" fillId="0" fontId="10" numFmtId="0" xfId="0" applyAlignment="1" applyBorder="1" applyFont="1">
      <alignment horizontal="center" shrinkToFit="1" vertical="center" wrapText="0"/>
    </xf>
    <xf borderId="44" fillId="0" fontId="11" numFmtId="0" xfId="0" applyAlignment="1" applyBorder="1" applyFont="1">
      <alignment horizontal="center" shrinkToFit="1" vertical="center" wrapText="0"/>
    </xf>
    <xf borderId="45" fillId="0" fontId="1" numFmtId="0" xfId="0" applyAlignment="1" applyBorder="1" applyFont="1">
      <alignment horizontal="center" shrinkToFit="1" vertical="center" wrapText="0"/>
    </xf>
    <xf borderId="46" fillId="0" fontId="1" numFmtId="0" xfId="0" applyAlignment="1" applyBorder="1" applyFont="1">
      <alignment horizontal="center" shrinkToFit="1" vertical="center" wrapText="0"/>
    </xf>
    <xf borderId="46" fillId="0" fontId="11" numFmtId="0" xfId="0" applyAlignment="1" applyBorder="1" applyFont="1">
      <alignment horizontal="center" shrinkToFit="1" vertical="center" wrapText="0"/>
    </xf>
    <xf borderId="47" fillId="0" fontId="1" numFmtId="0" xfId="0" applyAlignment="1" applyBorder="1" applyFont="1">
      <alignment horizontal="center" shrinkToFit="1" vertical="center" wrapText="0"/>
    </xf>
    <xf borderId="48" fillId="0" fontId="11" numFmtId="0" xfId="0" applyAlignment="1" applyBorder="1" applyFont="1">
      <alignment horizontal="center" shrinkToFit="1" vertical="center" wrapText="0"/>
    </xf>
    <xf borderId="49" fillId="0" fontId="1" numFmtId="0" xfId="0" applyAlignment="1" applyBorder="1" applyFont="1">
      <alignment horizontal="center" shrinkToFit="1" vertical="center" wrapText="0"/>
    </xf>
    <xf borderId="16" fillId="0" fontId="11" numFmtId="0" xfId="0" applyAlignment="1" applyBorder="1" applyFont="1">
      <alignment horizontal="center" shrinkToFit="1" vertical="center" wrapText="0"/>
    </xf>
    <xf borderId="16" fillId="0" fontId="1" numFmtId="0" xfId="0" applyAlignment="1" applyBorder="1" applyFont="1">
      <alignment horizontal="center" shrinkToFit="1" vertical="center" wrapText="0"/>
    </xf>
    <xf borderId="50" fillId="0" fontId="1" numFmtId="0" xfId="0" applyAlignment="1" applyBorder="1" applyFont="1">
      <alignment horizontal="center" shrinkToFit="1" vertical="center" wrapText="0"/>
    </xf>
    <xf borderId="49" fillId="0" fontId="11" numFmtId="0" xfId="0" applyAlignment="1" applyBorder="1" applyFont="1">
      <alignment horizontal="center" shrinkToFit="1" vertical="center" wrapText="0"/>
    </xf>
    <xf borderId="50" fillId="0" fontId="11" numFmtId="0" xfId="0" applyAlignment="1" applyBorder="1" applyFont="1">
      <alignment horizontal="center" shrinkToFit="1" vertical="center" wrapText="0"/>
    </xf>
    <xf borderId="51" fillId="0" fontId="11" numFmtId="0" xfId="0" applyAlignment="1" applyBorder="1" applyFont="1">
      <alignment horizontal="center" shrinkToFit="1" vertical="center" wrapText="0"/>
    </xf>
    <xf borderId="52" fillId="0" fontId="1" numFmtId="0" xfId="0" applyAlignment="1" applyBorder="1" applyFont="1">
      <alignment horizontal="center" shrinkToFit="1" vertical="center" wrapText="0"/>
    </xf>
    <xf borderId="53" fillId="0" fontId="1" numFmtId="0" xfId="0" applyAlignment="1" applyBorder="1" applyFont="1">
      <alignment horizontal="center" shrinkToFit="1" vertical="center" wrapText="0"/>
    </xf>
    <xf borderId="54" fillId="0" fontId="1" numFmtId="0" xfId="0" applyAlignment="1" applyBorder="1" applyFont="1">
      <alignment horizontal="center" shrinkToFit="1" vertical="center" wrapText="0"/>
    </xf>
    <xf borderId="55" fillId="0" fontId="10" numFmtId="0" xfId="0" applyAlignment="1" applyBorder="1" applyFont="1">
      <alignment horizontal="center" shrinkToFit="1" vertical="center" wrapText="0"/>
    </xf>
    <xf borderId="45" fillId="0" fontId="10" numFmtId="0" xfId="0" applyAlignment="1" applyBorder="1" applyFont="1">
      <alignment horizontal="center" shrinkToFit="1" vertical="center" wrapText="0"/>
    </xf>
    <xf borderId="46" fillId="0" fontId="10" numFmtId="0" xfId="0" applyAlignment="1" applyBorder="1" applyFont="1">
      <alignment horizontal="center" shrinkToFit="1" vertical="center" wrapText="0"/>
    </xf>
    <xf borderId="47" fillId="0" fontId="10" numFmtId="0" xfId="0" applyAlignment="1" applyBorder="1" applyFont="1">
      <alignment horizontal="center" shrinkToFit="1" vertical="center" wrapText="0"/>
    </xf>
    <xf borderId="49" fillId="0" fontId="10" numFmtId="0" xfId="0" applyAlignment="1" applyBorder="1" applyFont="1">
      <alignment horizontal="center" shrinkToFit="1" vertical="center" wrapText="0"/>
    </xf>
    <xf borderId="16" fillId="0" fontId="10" numFmtId="0" xfId="0" applyAlignment="1" applyBorder="1" applyFont="1">
      <alignment horizontal="center" shrinkToFit="1" vertical="center" wrapText="0"/>
    </xf>
    <xf borderId="50" fillId="0" fontId="10" numFmtId="0" xfId="0" applyAlignment="1" applyBorder="1" applyFont="1">
      <alignment horizontal="center" shrinkToFit="1" vertical="center" wrapText="0"/>
    </xf>
    <xf borderId="52" fillId="0" fontId="10" numFmtId="0" xfId="0" applyAlignment="1" applyBorder="1" applyFont="1">
      <alignment horizontal="center" shrinkToFit="1" vertical="center" wrapText="0"/>
    </xf>
    <xf borderId="53" fillId="0" fontId="10" numFmtId="0" xfId="0" applyAlignment="1" applyBorder="1" applyFont="1">
      <alignment horizontal="center" shrinkToFit="1" vertical="center" wrapText="0"/>
    </xf>
    <xf borderId="54" fillId="0" fontId="10" numFmtId="0" xfId="0" applyAlignment="1" applyBorder="1" applyFont="1">
      <alignment horizontal="center" shrinkToFit="1" vertical="center" wrapText="0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266700</xdr:rowOff>
    </xdr:from>
    <xdr:ext cx="5981700" cy="1885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</xdr:row>
      <xdr:rowOff>133350</xdr:rowOff>
    </xdr:from>
    <xdr:ext cx="4391025" cy="1638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</xdr:row>
      <xdr:rowOff>133350</xdr:rowOff>
    </xdr:from>
    <xdr:ext cx="4391025" cy="16383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</xdr:row>
      <xdr:rowOff>133350</xdr:rowOff>
    </xdr:from>
    <xdr:ext cx="4391025" cy="16383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4</xdr:row>
      <xdr:rowOff>133350</xdr:rowOff>
    </xdr:from>
    <xdr:ext cx="4391025" cy="16383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5</xdr:row>
      <xdr:rowOff>133350</xdr:rowOff>
    </xdr:from>
    <xdr:ext cx="4391025" cy="16383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</xdr:row>
      <xdr:rowOff>133350</xdr:rowOff>
    </xdr:from>
    <xdr:ext cx="4391025" cy="16383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</xdr:row>
      <xdr:rowOff>133350</xdr:rowOff>
    </xdr:from>
    <xdr:ext cx="4391025" cy="16383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8</xdr:row>
      <xdr:rowOff>133350</xdr:rowOff>
    </xdr:from>
    <xdr:ext cx="4391025" cy="16383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9</xdr:row>
      <xdr:rowOff>133350</xdr:rowOff>
    </xdr:from>
    <xdr:ext cx="4391025" cy="16383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266700</xdr:rowOff>
    </xdr:from>
    <xdr:ext cx="5981700" cy="18859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266700</xdr:rowOff>
    </xdr:from>
    <xdr:ext cx="5981700" cy="18859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266700</xdr:rowOff>
    </xdr:from>
    <xdr:ext cx="5981700" cy="18859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266700</xdr:rowOff>
    </xdr:from>
    <xdr:ext cx="5981700" cy="188595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266700</xdr:rowOff>
    </xdr:from>
    <xdr:ext cx="5981700" cy="18859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266700</xdr:rowOff>
    </xdr:from>
    <xdr:ext cx="5981700" cy="188595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266700</xdr:rowOff>
    </xdr:from>
    <xdr:ext cx="5981700" cy="188595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266700</xdr:rowOff>
    </xdr:from>
    <xdr:ext cx="5981700" cy="18859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21</xdr:row>
      <xdr:rowOff>219075</xdr:rowOff>
    </xdr:from>
    <xdr:ext cx="5953125" cy="18764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22</xdr:row>
      <xdr:rowOff>219075</xdr:rowOff>
    </xdr:from>
    <xdr:ext cx="5953125" cy="1876425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22</xdr:row>
      <xdr:rowOff>219075</xdr:rowOff>
    </xdr:from>
    <xdr:ext cx="5953125" cy="1876425"/>
    <xdr:pic>
      <xdr:nvPicPr>
        <xdr:cNvPr id="0" name="image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23</xdr:row>
      <xdr:rowOff>219075</xdr:rowOff>
    </xdr:from>
    <xdr:ext cx="5953125" cy="18764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23</xdr:row>
      <xdr:rowOff>219075</xdr:rowOff>
    </xdr:from>
    <xdr:ext cx="5953125" cy="18764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</xdr:row>
      <xdr:rowOff>219075</xdr:rowOff>
    </xdr:from>
    <xdr:ext cx="5953125" cy="187642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</xdr:row>
      <xdr:rowOff>219075</xdr:rowOff>
    </xdr:from>
    <xdr:ext cx="5953125" cy="1876425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25</xdr:row>
      <xdr:rowOff>219075</xdr:rowOff>
    </xdr:from>
    <xdr:ext cx="5953125" cy="18764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25</xdr:row>
      <xdr:rowOff>219075</xdr:rowOff>
    </xdr:from>
    <xdr:ext cx="5953125" cy="1876425"/>
    <xdr:pic>
      <xdr:nvPicPr>
        <xdr:cNvPr id="0" name="image2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26</xdr:row>
      <xdr:rowOff>219075</xdr:rowOff>
    </xdr:from>
    <xdr:ext cx="5953125" cy="1876425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26</xdr:row>
      <xdr:rowOff>219075</xdr:rowOff>
    </xdr:from>
    <xdr:ext cx="5953125" cy="1876425"/>
    <xdr:pic>
      <xdr:nvPicPr>
        <xdr:cNvPr id="0" name="image2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27</xdr:row>
      <xdr:rowOff>219075</xdr:rowOff>
    </xdr:from>
    <xdr:ext cx="5953125" cy="1876425"/>
    <xdr:pic>
      <xdr:nvPicPr>
        <xdr:cNvPr id="0" name="image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27</xdr:row>
      <xdr:rowOff>219075</xdr:rowOff>
    </xdr:from>
    <xdr:ext cx="5953125" cy="1876425"/>
    <xdr:pic>
      <xdr:nvPicPr>
        <xdr:cNvPr id="0" name="image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28</xdr:row>
      <xdr:rowOff>219075</xdr:rowOff>
    </xdr:from>
    <xdr:ext cx="5953125" cy="1876425"/>
    <xdr:pic>
      <xdr:nvPicPr>
        <xdr:cNvPr id="0" name="image3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28</xdr:row>
      <xdr:rowOff>219075</xdr:rowOff>
    </xdr:from>
    <xdr:ext cx="5953125" cy="1876425"/>
    <xdr:pic>
      <xdr:nvPicPr>
        <xdr:cNvPr id="0" name="image3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29</xdr:row>
      <xdr:rowOff>219075</xdr:rowOff>
    </xdr:from>
    <xdr:ext cx="5953125" cy="18764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29</xdr:row>
      <xdr:rowOff>219075</xdr:rowOff>
    </xdr:from>
    <xdr:ext cx="5953125" cy="1876425"/>
    <xdr:pic>
      <xdr:nvPicPr>
        <xdr:cNvPr id="0" name="image3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6.71"/>
    <col customWidth="1" min="4" max="4" width="20.29"/>
    <col customWidth="1" min="5" max="5" width="14.29"/>
    <col customWidth="1" min="6" max="6" width="12.43"/>
    <col customWidth="1" min="7" max="7" width="20.29"/>
    <col customWidth="1" min="8" max="8" width="14.29"/>
    <col customWidth="1" min="9" max="9" width="14.43"/>
    <col customWidth="1" min="10" max="11" width="20.29"/>
    <col customWidth="1" min="12" max="12" width="14.29"/>
    <col customWidth="1" min="13" max="13" width="13.43"/>
    <col customWidth="1" min="14" max="14" width="15.14"/>
    <col customWidth="1" min="15" max="15" width="14.29"/>
    <col customWidth="1" min="16" max="16" width="14.43"/>
    <col customWidth="1" min="17" max="18" width="20.29"/>
    <col customWidth="1" min="19" max="19" width="12.43"/>
    <col customWidth="1" min="20" max="20" width="14.29"/>
    <col customWidth="1" min="21" max="21" width="14.43"/>
    <col customWidth="1" min="22" max="22" width="12.43"/>
    <col customWidth="1" min="23" max="23" width="5.0"/>
    <col customWidth="1" min="24" max="24" width="20.29"/>
    <col customWidth="1" min="25" max="25" width="15.14"/>
    <col customWidth="1" min="26" max="27" width="14.29"/>
    <col customWidth="1" min="28" max="28" width="20.29"/>
    <col customWidth="1" min="29" max="29" width="14.29"/>
    <col customWidth="1" min="30" max="30" width="12.43"/>
    <col customWidth="1" min="31" max="31" width="13.43"/>
    <col customWidth="1" min="32" max="32" width="14.29"/>
    <col customWidth="1" min="33" max="33" width="14.43"/>
    <col customWidth="1" min="34" max="34" width="12.43"/>
    <col customWidth="1" min="35" max="35" width="14.43"/>
    <col customWidth="1" min="36" max="36" width="14.29"/>
    <col customWidth="1" min="37" max="37" width="5.0"/>
    <col customWidth="1" min="38" max="38" width="14.14"/>
    <col customWidth="1" min="39" max="39" width="6.71"/>
  </cols>
  <sheetData>
    <row r="1" ht="16.5" customHeight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 t="s">
        <v>3</v>
      </c>
      <c r="R1" s="1"/>
      <c r="S1" s="1"/>
      <c r="T1" s="1"/>
      <c r="U1" s="1"/>
      <c r="V1" s="1"/>
      <c r="W1" s="1"/>
      <c r="X1" s="1" t="s">
        <v>4</v>
      </c>
      <c r="Y1" s="1"/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/>
      <c r="AL1" s="1" t="s">
        <v>0</v>
      </c>
      <c r="AM1" s="1" t="s">
        <v>6</v>
      </c>
    </row>
    <row r="2" ht="16.5" customHeight="1">
      <c r="A2" s="1"/>
      <c r="B2" s="1"/>
      <c r="C2" s="1">
        <v>1.0</v>
      </c>
      <c r="D2" s="1">
        <v>2.0</v>
      </c>
      <c r="E2" s="1">
        <v>3.0</v>
      </c>
      <c r="F2" s="1">
        <v>4.0</v>
      </c>
      <c r="G2" s="1">
        <v>5.0</v>
      </c>
      <c r="H2" s="1">
        <v>6.0</v>
      </c>
      <c r="I2" s="1">
        <v>7.0</v>
      </c>
      <c r="J2" s="1">
        <v>1.0</v>
      </c>
      <c r="K2" s="1">
        <v>2.0</v>
      </c>
      <c r="L2" s="1">
        <v>3.0</v>
      </c>
      <c r="M2" s="1">
        <v>4.0</v>
      </c>
      <c r="N2" s="1">
        <v>5.0</v>
      </c>
      <c r="O2" s="1">
        <v>6.0</v>
      </c>
      <c r="P2" s="1">
        <v>7.0</v>
      </c>
      <c r="Q2" s="1">
        <v>1.0</v>
      </c>
      <c r="R2" s="1">
        <v>2.0</v>
      </c>
      <c r="S2" s="1">
        <v>3.0</v>
      </c>
      <c r="T2" s="1">
        <v>4.0</v>
      </c>
      <c r="U2" s="1">
        <v>5.0</v>
      </c>
      <c r="V2" s="1">
        <v>6.0</v>
      </c>
      <c r="W2" s="1">
        <v>7.0</v>
      </c>
      <c r="X2" s="1">
        <v>1.0</v>
      </c>
      <c r="Y2" s="1">
        <v>2.0</v>
      </c>
      <c r="Z2" s="1">
        <v>3.0</v>
      </c>
      <c r="AA2" s="1">
        <v>4.0</v>
      </c>
      <c r="AB2" s="1">
        <v>5.0</v>
      </c>
      <c r="AC2" s="1">
        <v>6.0</v>
      </c>
      <c r="AD2" s="1">
        <v>7.0</v>
      </c>
      <c r="AE2" s="1">
        <v>1.0</v>
      </c>
      <c r="AF2" s="1">
        <v>2.0</v>
      </c>
      <c r="AG2" s="1">
        <v>3.0</v>
      </c>
      <c r="AH2" s="1">
        <v>4.0</v>
      </c>
      <c r="AI2" s="1">
        <v>5.0</v>
      </c>
      <c r="AJ2" s="1">
        <v>6.0</v>
      </c>
      <c r="AK2" s="1">
        <v>7.0</v>
      </c>
      <c r="AL2" s="1"/>
      <c r="AM2" s="1"/>
    </row>
    <row r="3" ht="16.5" customHeight="1">
      <c r="A3" s="2">
        <v>1011.0</v>
      </c>
      <c r="B3" s="1" t="s">
        <v>7</v>
      </c>
      <c r="C3" s="3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5" t="s">
        <v>14</v>
      </c>
      <c r="J3" s="3" t="s">
        <v>14</v>
      </c>
      <c r="K3" s="4" t="s">
        <v>15</v>
      </c>
      <c r="L3" s="4" t="s">
        <v>16</v>
      </c>
      <c r="M3" s="4" t="s">
        <v>13</v>
      </c>
      <c r="N3" s="4" t="s">
        <v>17</v>
      </c>
      <c r="O3" s="4" t="s">
        <v>12</v>
      </c>
      <c r="P3" s="5" t="s">
        <v>11</v>
      </c>
      <c r="Q3" s="3" t="s">
        <v>15</v>
      </c>
      <c r="R3" s="4" t="s">
        <v>11</v>
      </c>
      <c r="S3" s="4" t="s">
        <v>18</v>
      </c>
      <c r="T3" s="4" t="s">
        <v>13</v>
      </c>
      <c r="U3" s="4" t="s">
        <v>17</v>
      </c>
      <c r="V3" s="5" t="s">
        <v>19</v>
      </c>
      <c r="W3" s="1" t="s">
        <v>10</v>
      </c>
      <c r="X3" s="3" t="s">
        <v>17</v>
      </c>
      <c r="Y3" s="4" t="s">
        <v>15</v>
      </c>
      <c r="Z3" s="4" t="s">
        <v>14</v>
      </c>
      <c r="AA3" s="4" t="s">
        <v>12</v>
      </c>
      <c r="AB3" s="4" t="s">
        <v>9</v>
      </c>
      <c r="AC3" s="4" t="s">
        <v>11</v>
      </c>
      <c r="AD3" s="5" t="s">
        <v>16</v>
      </c>
      <c r="AE3" s="3" t="s">
        <v>17</v>
      </c>
      <c r="AF3" s="4" t="s">
        <v>20</v>
      </c>
      <c r="AG3" s="4" t="s">
        <v>12</v>
      </c>
      <c r="AH3" s="4" t="s">
        <v>13</v>
      </c>
      <c r="AI3" s="4" t="s">
        <v>14</v>
      </c>
      <c r="AJ3" s="5" t="s">
        <v>19</v>
      </c>
      <c r="AK3" s="1" t="s">
        <v>21</v>
      </c>
      <c r="AL3" s="1" t="s">
        <v>7</v>
      </c>
      <c r="AM3" s="1" t="s">
        <v>22</v>
      </c>
    </row>
    <row r="4" ht="16.5" customHeight="1">
      <c r="A4" s="2">
        <v>1012.0</v>
      </c>
      <c r="B4" s="1"/>
      <c r="C4" s="6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8" t="s">
        <v>28</v>
      </c>
      <c r="J4" s="6" t="s">
        <v>28</v>
      </c>
      <c r="K4" s="7" t="s">
        <v>22</v>
      </c>
      <c r="L4" s="7" t="s">
        <v>29</v>
      </c>
      <c r="M4" s="7" t="s">
        <v>27</v>
      </c>
      <c r="N4" s="7" t="s">
        <v>30</v>
      </c>
      <c r="O4" s="7" t="s">
        <v>31</v>
      </c>
      <c r="P4" s="8" t="s">
        <v>32</v>
      </c>
      <c r="Q4" s="6" t="s">
        <v>22</v>
      </c>
      <c r="R4" s="7" t="s">
        <v>33</v>
      </c>
      <c r="S4" s="7" t="s">
        <v>34</v>
      </c>
      <c r="T4" s="7" t="s">
        <v>27</v>
      </c>
      <c r="U4" s="7" t="s">
        <v>30</v>
      </c>
      <c r="V4" s="8" t="s">
        <v>35</v>
      </c>
      <c r="W4" s="1"/>
      <c r="X4" s="6" t="s">
        <v>30</v>
      </c>
      <c r="Y4" s="7" t="s">
        <v>22</v>
      </c>
      <c r="Z4" s="7" t="s">
        <v>28</v>
      </c>
      <c r="AA4" s="7" t="s">
        <v>36</v>
      </c>
      <c r="AB4" s="7" t="s">
        <v>23</v>
      </c>
      <c r="AC4" s="7" t="s">
        <v>24</v>
      </c>
      <c r="AD4" s="8" t="s">
        <v>29</v>
      </c>
      <c r="AE4" s="6" t="s">
        <v>30</v>
      </c>
      <c r="AF4" s="7" t="s">
        <v>37</v>
      </c>
      <c r="AG4" s="7" t="s">
        <v>26</v>
      </c>
      <c r="AH4" s="7" t="s">
        <v>27</v>
      </c>
      <c r="AI4" s="7" t="s">
        <v>28</v>
      </c>
      <c r="AJ4" s="8" t="s">
        <v>35</v>
      </c>
      <c r="AK4" s="1"/>
      <c r="AL4" s="1"/>
      <c r="AM4" s="1"/>
    </row>
    <row r="5" ht="16.5" customHeight="1">
      <c r="A5" s="2" t="str">
        <f t="shared" ref="A5:A20" si="1">A3+10</f>
        <v>1021</v>
      </c>
      <c r="B5" s="1" t="s">
        <v>38</v>
      </c>
      <c r="C5" s="9" t="s">
        <v>8</v>
      </c>
      <c r="D5" s="10" t="s">
        <v>14</v>
      </c>
      <c r="E5" s="10" t="s">
        <v>17</v>
      </c>
      <c r="F5" s="10" t="s">
        <v>16</v>
      </c>
      <c r="G5" s="10" t="s">
        <v>15</v>
      </c>
      <c r="H5" s="10" t="s">
        <v>11</v>
      </c>
      <c r="I5" s="11" t="s">
        <v>12</v>
      </c>
      <c r="J5" s="9" t="s">
        <v>13</v>
      </c>
      <c r="K5" s="10" t="s">
        <v>10</v>
      </c>
      <c r="L5" s="10" t="s">
        <v>14</v>
      </c>
      <c r="M5" s="10" t="s">
        <v>12</v>
      </c>
      <c r="N5" s="10" t="s">
        <v>11</v>
      </c>
      <c r="O5" s="10" t="s">
        <v>19</v>
      </c>
      <c r="P5" s="11" t="s">
        <v>15</v>
      </c>
      <c r="Q5" s="9" t="s">
        <v>13</v>
      </c>
      <c r="R5" s="10" t="s">
        <v>14</v>
      </c>
      <c r="S5" s="10" t="s">
        <v>17</v>
      </c>
      <c r="T5" s="10" t="s">
        <v>11</v>
      </c>
      <c r="U5" s="10" t="s">
        <v>15</v>
      </c>
      <c r="V5" s="11" t="s">
        <v>9</v>
      </c>
      <c r="W5" s="1" t="s">
        <v>10</v>
      </c>
      <c r="X5" s="9" t="s">
        <v>11</v>
      </c>
      <c r="Y5" s="10" t="s">
        <v>16</v>
      </c>
      <c r="Z5" s="10" t="s">
        <v>20</v>
      </c>
      <c r="AA5" s="10" t="s">
        <v>12</v>
      </c>
      <c r="AB5" s="10" t="s">
        <v>13</v>
      </c>
      <c r="AC5" s="10" t="s">
        <v>17</v>
      </c>
      <c r="AD5" s="11" t="s">
        <v>14</v>
      </c>
      <c r="AE5" s="9" t="s">
        <v>19</v>
      </c>
      <c r="AF5" s="10" t="s">
        <v>18</v>
      </c>
      <c r="AG5" s="10" t="s">
        <v>13</v>
      </c>
      <c r="AH5" s="10" t="s">
        <v>17</v>
      </c>
      <c r="AI5" s="10" t="s">
        <v>9</v>
      </c>
      <c r="AJ5" s="11" t="s">
        <v>12</v>
      </c>
      <c r="AK5" s="1" t="s">
        <v>21</v>
      </c>
      <c r="AL5" s="1" t="s">
        <v>38</v>
      </c>
      <c r="AM5" s="1" t="s">
        <v>25</v>
      </c>
    </row>
    <row r="6" ht="16.5" customHeight="1">
      <c r="A6" s="2" t="str">
        <f t="shared" si="1"/>
        <v>1022</v>
      </c>
      <c r="B6" s="1"/>
      <c r="C6" s="6" t="s">
        <v>25</v>
      </c>
      <c r="D6" s="7" t="s">
        <v>28</v>
      </c>
      <c r="E6" s="7" t="s">
        <v>30</v>
      </c>
      <c r="F6" s="7" t="s">
        <v>29</v>
      </c>
      <c r="G6" s="7" t="s">
        <v>22</v>
      </c>
      <c r="H6" s="7" t="s">
        <v>24</v>
      </c>
      <c r="I6" s="8" t="s">
        <v>26</v>
      </c>
      <c r="J6" s="6" t="s">
        <v>27</v>
      </c>
      <c r="K6" s="7" t="s">
        <v>39</v>
      </c>
      <c r="L6" s="7" t="s">
        <v>28</v>
      </c>
      <c r="M6" s="7" t="s">
        <v>26</v>
      </c>
      <c r="N6" s="7" t="s">
        <v>33</v>
      </c>
      <c r="O6" s="7" t="s">
        <v>35</v>
      </c>
      <c r="P6" s="8" t="s">
        <v>22</v>
      </c>
      <c r="Q6" s="6" t="s">
        <v>27</v>
      </c>
      <c r="R6" s="7" t="s">
        <v>28</v>
      </c>
      <c r="S6" s="7" t="s">
        <v>30</v>
      </c>
      <c r="T6" s="7" t="s">
        <v>32</v>
      </c>
      <c r="U6" s="7" t="s">
        <v>22</v>
      </c>
      <c r="V6" s="8" t="s">
        <v>23</v>
      </c>
      <c r="W6" s="1"/>
      <c r="X6" s="6" t="s">
        <v>25</v>
      </c>
      <c r="Y6" s="7" t="s">
        <v>29</v>
      </c>
      <c r="Z6" s="7" t="s">
        <v>37</v>
      </c>
      <c r="AA6" s="7" t="s">
        <v>31</v>
      </c>
      <c r="AB6" s="7" t="s">
        <v>27</v>
      </c>
      <c r="AC6" s="7" t="s">
        <v>30</v>
      </c>
      <c r="AD6" s="8" t="s">
        <v>28</v>
      </c>
      <c r="AE6" s="6" t="s">
        <v>35</v>
      </c>
      <c r="AF6" s="7" t="s">
        <v>34</v>
      </c>
      <c r="AG6" s="7" t="s">
        <v>27</v>
      </c>
      <c r="AH6" s="7" t="s">
        <v>30</v>
      </c>
      <c r="AI6" s="7" t="s">
        <v>23</v>
      </c>
      <c r="AJ6" s="8" t="s">
        <v>36</v>
      </c>
      <c r="AK6" s="1"/>
      <c r="AL6" s="1"/>
      <c r="AM6" s="1"/>
    </row>
    <row r="7" ht="16.5" customHeight="1">
      <c r="A7" s="2" t="str">
        <f t="shared" si="1"/>
        <v>1031</v>
      </c>
      <c r="B7" s="1" t="s">
        <v>40</v>
      </c>
      <c r="C7" s="9" t="s">
        <v>8</v>
      </c>
      <c r="D7" s="10" t="s">
        <v>13</v>
      </c>
      <c r="E7" s="10" t="s">
        <v>12</v>
      </c>
      <c r="F7" s="10" t="s">
        <v>14</v>
      </c>
      <c r="G7" s="10" t="s">
        <v>9</v>
      </c>
      <c r="H7" s="10" t="s">
        <v>11</v>
      </c>
      <c r="I7" s="11" t="s">
        <v>17</v>
      </c>
      <c r="J7" s="9" t="s">
        <v>19</v>
      </c>
      <c r="K7" s="10" t="s">
        <v>18</v>
      </c>
      <c r="L7" s="10" t="s">
        <v>11</v>
      </c>
      <c r="M7" s="10" t="s">
        <v>16</v>
      </c>
      <c r="N7" s="10" t="s">
        <v>15</v>
      </c>
      <c r="O7" s="10" t="s">
        <v>13</v>
      </c>
      <c r="P7" s="11" t="s">
        <v>17</v>
      </c>
      <c r="Q7" s="9" t="s">
        <v>11</v>
      </c>
      <c r="R7" s="10" t="s">
        <v>17</v>
      </c>
      <c r="S7" s="10" t="s">
        <v>9</v>
      </c>
      <c r="T7" s="10" t="s">
        <v>19</v>
      </c>
      <c r="U7" s="10" t="s">
        <v>14</v>
      </c>
      <c r="V7" s="11" t="s">
        <v>12</v>
      </c>
      <c r="W7" s="1" t="s">
        <v>10</v>
      </c>
      <c r="X7" s="9" t="s">
        <v>20</v>
      </c>
      <c r="Y7" s="10" t="s">
        <v>11</v>
      </c>
      <c r="Z7" s="10" t="s">
        <v>12</v>
      </c>
      <c r="AA7" s="10" t="s">
        <v>14</v>
      </c>
      <c r="AB7" s="10" t="s">
        <v>17</v>
      </c>
      <c r="AC7" s="10" t="s">
        <v>13</v>
      </c>
      <c r="AD7" s="11" t="s">
        <v>15</v>
      </c>
      <c r="AE7" s="9" t="s">
        <v>15</v>
      </c>
      <c r="AF7" s="10" t="s">
        <v>14</v>
      </c>
      <c r="AG7" s="10" t="s">
        <v>16</v>
      </c>
      <c r="AH7" s="10" t="s">
        <v>12</v>
      </c>
      <c r="AI7" s="10" t="s">
        <v>10</v>
      </c>
      <c r="AJ7" s="11" t="s">
        <v>13</v>
      </c>
      <c r="AK7" s="1" t="s">
        <v>21</v>
      </c>
      <c r="AL7" s="1" t="s">
        <v>40</v>
      </c>
      <c r="AM7" s="1" t="s">
        <v>32</v>
      </c>
    </row>
    <row r="8" ht="16.5" customHeight="1">
      <c r="A8" s="2" t="str">
        <f t="shared" si="1"/>
        <v>1032</v>
      </c>
      <c r="B8" s="1"/>
      <c r="C8" s="6" t="s">
        <v>32</v>
      </c>
      <c r="D8" s="7" t="s">
        <v>27</v>
      </c>
      <c r="E8" s="7" t="s">
        <v>26</v>
      </c>
      <c r="F8" s="7" t="s">
        <v>28</v>
      </c>
      <c r="G8" s="7" t="s">
        <v>23</v>
      </c>
      <c r="H8" s="7" t="s">
        <v>33</v>
      </c>
      <c r="I8" s="8" t="s">
        <v>30</v>
      </c>
      <c r="J8" s="6" t="s">
        <v>35</v>
      </c>
      <c r="K8" s="7" t="s">
        <v>34</v>
      </c>
      <c r="L8" s="7" t="s">
        <v>25</v>
      </c>
      <c r="M8" s="7" t="s">
        <v>29</v>
      </c>
      <c r="N8" s="7" t="s">
        <v>22</v>
      </c>
      <c r="O8" s="7" t="s">
        <v>27</v>
      </c>
      <c r="P8" s="8" t="s">
        <v>30</v>
      </c>
      <c r="Q8" s="6" t="s">
        <v>24</v>
      </c>
      <c r="R8" s="7" t="s">
        <v>30</v>
      </c>
      <c r="S8" s="7" t="s">
        <v>23</v>
      </c>
      <c r="T8" s="7" t="s">
        <v>35</v>
      </c>
      <c r="U8" s="7" t="s">
        <v>28</v>
      </c>
      <c r="V8" s="8" t="s">
        <v>31</v>
      </c>
      <c r="W8" s="1"/>
      <c r="X8" s="6" t="s">
        <v>37</v>
      </c>
      <c r="Y8" s="7" t="s">
        <v>32</v>
      </c>
      <c r="Z8" s="7" t="s">
        <v>26</v>
      </c>
      <c r="AA8" s="7" t="s">
        <v>28</v>
      </c>
      <c r="AB8" s="7" t="s">
        <v>30</v>
      </c>
      <c r="AC8" s="7" t="s">
        <v>27</v>
      </c>
      <c r="AD8" s="8" t="s">
        <v>22</v>
      </c>
      <c r="AE8" s="6" t="s">
        <v>22</v>
      </c>
      <c r="AF8" s="7" t="s">
        <v>28</v>
      </c>
      <c r="AG8" s="7" t="s">
        <v>29</v>
      </c>
      <c r="AH8" s="7" t="s">
        <v>36</v>
      </c>
      <c r="AI8" s="7" t="s">
        <v>41</v>
      </c>
      <c r="AJ8" s="8" t="s">
        <v>27</v>
      </c>
      <c r="AK8" s="1"/>
      <c r="AL8" s="1"/>
      <c r="AM8" s="1"/>
    </row>
    <row r="9" ht="16.5" customHeight="1">
      <c r="A9" s="2" t="str">
        <f t="shared" si="1"/>
        <v>1041</v>
      </c>
      <c r="B9" s="1" t="s">
        <v>42</v>
      </c>
      <c r="C9" s="9" t="s">
        <v>8</v>
      </c>
      <c r="D9" s="10" t="s">
        <v>19</v>
      </c>
      <c r="E9" s="10" t="s">
        <v>15</v>
      </c>
      <c r="F9" s="10" t="s">
        <v>13</v>
      </c>
      <c r="G9" s="10" t="s">
        <v>17</v>
      </c>
      <c r="H9" s="10" t="s">
        <v>18</v>
      </c>
      <c r="I9" s="11" t="s">
        <v>11</v>
      </c>
      <c r="J9" s="9" t="s">
        <v>11</v>
      </c>
      <c r="K9" s="10" t="s">
        <v>17</v>
      </c>
      <c r="L9" s="10" t="s">
        <v>9</v>
      </c>
      <c r="M9" s="10" t="s">
        <v>10</v>
      </c>
      <c r="N9" s="10" t="s">
        <v>14</v>
      </c>
      <c r="O9" s="10" t="s">
        <v>12</v>
      </c>
      <c r="P9" s="11" t="s">
        <v>13</v>
      </c>
      <c r="Q9" s="9" t="s">
        <v>14</v>
      </c>
      <c r="R9" s="10" t="s">
        <v>11</v>
      </c>
      <c r="S9" s="10" t="s">
        <v>12</v>
      </c>
      <c r="T9" s="10" t="s">
        <v>20</v>
      </c>
      <c r="U9" s="10" t="s">
        <v>16</v>
      </c>
      <c r="V9" s="11" t="s">
        <v>13</v>
      </c>
      <c r="W9" s="1" t="s">
        <v>10</v>
      </c>
      <c r="X9" s="9" t="s">
        <v>14</v>
      </c>
      <c r="Y9" s="10" t="s">
        <v>13</v>
      </c>
      <c r="Z9" s="10" t="s">
        <v>17</v>
      </c>
      <c r="AA9" s="10" t="s">
        <v>15</v>
      </c>
      <c r="AB9" s="10" t="s">
        <v>19</v>
      </c>
      <c r="AC9" s="10" t="s">
        <v>11</v>
      </c>
      <c r="AD9" s="11" t="s">
        <v>12</v>
      </c>
      <c r="AE9" s="9" t="s">
        <v>14</v>
      </c>
      <c r="AF9" s="10" t="s">
        <v>12</v>
      </c>
      <c r="AG9" s="10" t="s">
        <v>9</v>
      </c>
      <c r="AH9" s="10" t="s">
        <v>16</v>
      </c>
      <c r="AI9" s="10" t="s">
        <v>15</v>
      </c>
      <c r="AJ9" s="11" t="s">
        <v>17</v>
      </c>
      <c r="AK9" s="1" t="s">
        <v>21</v>
      </c>
      <c r="AL9" s="1" t="s">
        <v>42</v>
      </c>
      <c r="AM9" s="1" t="s">
        <v>33</v>
      </c>
    </row>
    <row r="10" ht="16.5" customHeight="1">
      <c r="A10" s="2" t="str">
        <f t="shared" si="1"/>
        <v>1042</v>
      </c>
      <c r="B10" s="1"/>
      <c r="C10" s="6" t="s">
        <v>33</v>
      </c>
      <c r="D10" s="7" t="s">
        <v>35</v>
      </c>
      <c r="E10" s="7" t="s">
        <v>22</v>
      </c>
      <c r="F10" s="7" t="s">
        <v>27</v>
      </c>
      <c r="G10" s="7" t="s">
        <v>30</v>
      </c>
      <c r="H10" s="7" t="s">
        <v>34</v>
      </c>
      <c r="I10" s="8" t="s">
        <v>24</v>
      </c>
      <c r="J10" s="6" t="s">
        <v>32</v>
      </c>
      <c r="K10" s="7" t="s">
        <v>30</v>
      </c>
      <c r="L10" s="7" t="s">
        <v>43</v>
      </c>
      <c r="M10" s="7" t="s">
        <v>44</v>
      </c>
      <c r="N10" s="7" t="s">
        <v>28</v>
      </c>
      <c r="O10" s="7" t="s">
        <v>26</v>
      </c>
      <c r="P10" s="8" t="s">
        <v>27</v>
      </c>
      <c r="Q10" s="6" t="s">
        <v>28</v>
      </c>
      <c r="R10" s="7" t="s">
        <v>25</v>
      </c>
      <c r="S10" s="7" t="s">
        <v>26</v>
      </c>
      <c r="T10" s="7" t="s">
        <v>37</v>
      </c>
      <c r="U10" s="7" t="s">
        <v>29</v>
      </c>
      <c r="V10" s="8" t="s">
        <v>27</v>
      </c>
      <c r="W10" s="1"/>
      <c r="X10" s="6" t="s">
        <v>28</v>
      </c>
      <c r="Y10" s="7" t="s">
        <v>27</v>
      </c>
      <c r="Z10" s="7" t="s">
        <v>30</v>
      </c>
      <c r="AA10" s="7" t="s">
        <v>22</v>
      </c>
      <c r="AB10" s="7" t="s">
        <v>35</v>
      </c>
      <c r="AC10" s="7" t="s">
        <v>33</v>
      </c>
      <c r="AD10" s="8" t="s">
        <v>36</v>
      </c>
      <c r="AE10" s="6" t="s">
        <v>28</v>
      </c>
      <c r="AF10" s="7" t="s">
        <v>31</v>
      </c>
      <c r="AG10" s="7" t="s">
        <v>43</v>
      </c>
      <c r="AH10" s="7" t="s">
        <v>29</v>
      </c>
      <c r="AI10" s="7" t="s">
        <v>22</v>
      </c>
      <c r="AJ10" s="8" t="s">
        <v>30</v>
      </c>
      <c r="AK10" s="1"/>
      <c r="AL10" s="1"/>
      <c r="AM10" s="1"/>
    </row>
    <row r="11" ht="16.5" customHeight="1">
      <c r="A11" s="2" t="str">
        <f t="shared" si="1"/>
        <v>1051</v>
      </c>
      <c r="B11" s="1" t="s">
        <v>45</v>
      </c>
      <c r="C11" s="9" t="s">
        <v>8</v>
      </c>
      <c r="D11" s="10" t="s">
        <v>11</v>
      </c>
      <c r="E11" s="10" t="s">
        <v>20</v>
      </c>
      <c r="F11" s="10" t="s">
        <v>14</v>
      </c>
      <c r="G11" s="10" t="s">
        <v>10</v>
      </c>
      <c r="H11" s="10" t="s">
        <v>16</v>
      </c>
      <c r="I11" s="11" t="s">
        <v>12</v>
      </c>
      <c r="J11" s="9" t="s">
        <v>17</v>
      </c>
      <c r="K11" s="10" t="s">
        <v>9</v>
      </c>
      <c r="L11" s="10" t="s">
        <v>15</v>
      </c>
      <c r="M11" s="10" t="s">
        <v>19</v>
      </c>
      <c r="N11" s="10" t="s">
        <v>14</v>
      </c>
      <c r="O11" s="10" t="s">
        <v>13</v>
      </c>
      <c r="P11" s="11" t="s">
        <v>12</v>
      </c>
      <c r="Q11" s="9" t="s">
        <v>13</v>
      </c>
      <c r="R11" s="10" t="s">
        <v>16</v>
      </c>
      <c r="S11" s="10" t="s">
        <v>15</v>
      </c>
      <c r="T11" s="10" t="s">
        <v>11</v>
      </c>
      <c r="U11" s="10" t="s">
        <v>17</v>
      </c>
      <c r="V11" s="11" t="s">
        <v>14</v>
      </c>
      <c r="W11" s="1" t="s">
        <v>10</v>
      </c>
      <c r="X11" s="9" t="s">
        <v>12</v>
      </c>
      <c r="Y11" s="10" t="s">
        <v>17</v>
      </c>
      <c r="Z11" s="10" t="s">
        <v>9</v>
      </c>
      <c r="AA11" s="10" t="s">
        <v>11</v>
      </c>
      <c r="AB11" s="10" t="s">
        <v>13</v>
      </c>
      <c r="AC11" s="10" t="s">
        <v>19</v>
      </c>
      <c r="AD11" s="11" t="s">
        <v>14</v>
      </c>
      <c r="AE11" s="9" t="s">
        <v>11</v>
      </c>
      <c r="AF11" s="10" t="s">
        <v>17</v>
      </c>
      <c r="AG11" s="10" t="s">
        <v>15</v>
      </c>
      <c r="AH11" s="10" t="s">
        <v>12</v>
      </c>
      <c r="AI11" s="10" t="s">
        <v>18</v>
      </c>
      <c r="AJ11" s="11" t="s">
        <v>13</v>
      </c>
      <c r="AK11" s="1" t="s">
        <v>21</v>
      </c>
      <c r="AL11" s="1" t="s">
        <v>45</v>
      </c>
      <c r="AM11" s="1" t="s">
        <v>46</v>
      </c>
    </row>
    <row r="12" ht="16.5" customHeight="1">
      <c r="A12" s="2" t="str">
        <f t="shared" si="1"/>
        <v>1052</v>
      </c>
      <c r="B12" s="1"/>
      <c r="C12" s="6" t="s">
        <v>46</v>
      </c>
      <c r="D12" s="7" t="s">
        <v>33</v>
      </c>
      <c r="E12" s="7" t="s">
        <v>37</v>
      </c>
      <c r="F12" s="7" t="s">
        <v>47</v>
      </c>
      <c r="G12" s="7" t="s">
        <v>48</v>
      </c>
      <c r="H12" s="7" t="s">
        <v>29</v>
      </c>
      <c r="I12" s="8" t="s">
        <v>31</v>
      </c>
      <c r="J12" s="6" t="s">
        <v>49</v>
      </c>
      <c r="K12" s="7" t="s">
        <v>43</v>
      </c>
      <c r="L12" s="7" t="s">
        <v>22</v>
      </c>
      <c r="M12" s="7" t="s">
        <v>35</v>
      </c>
      <c r="N12" s="7" t="s">
        <v>47</v>
      </c>
      <c r="O12" s="7" t="s">
        <v>46</v>
      </c>
      <c r="P12" s="8" t="s">
        <v>36</v>
      </c>
      <c r="Q12" s="6" t="s">
        <v>46</v>
      </c>
      <c r="R12" s="7" t="s">
        <v>29</v>
      </c>
      <c r="S12" s="7" t="s">
        <v>22</v>
      </c>
      <c r="T12" s="7" t="s">
        <v>25</v>
      </c>
      <c r="U12" s="7" t="s">
        <v>49</v>
      </c>
      <c r="V12" s="8" t="s">
        <v>47</v>
      </c>
      <c r="W12" s="1"/>
      <c r="X12" s="6" t="s">
        <v>26</v>
      </c>
      <c r="Y12" s="7" t="s">
        <v>49</v>
      </c>
      <c r="Z12" s="7" t="s">
        <v>43</v>
      </c>
      <c r="AA12" s="7" t="s">
        <v>32</v>
      </c>
      <c r="AB12" s="7" t="s">
        <v>46</v>
      </c>
      <c r="AC12" s="7" t="s">
        <v>35</v>
      </c>
      <c r="AD12" s="8" t="s">
        <v>47</v>
      </c>
      <c r="AE12" s="6" t="s">
        <v>24</v>
      </c>
      <c r="AF12" s="7" t="s">
        <v>49</v>
      </c>
      <c r="AG12" s="7" t="s">
        <v>22</v>
      </c>
      <c r="AH12" s="7" t="s">
        <v>26</v>
      </c>
      <c r="AI12" s="7" t="s">
        <v>34</v>
      </c>
      <c r="AJ12" s="8" t="s">
        <v>46</v>
      </c>
      <c r="AK12" s="1"/>
      <c r="AL12" s="1"/>
      <c r="AM12" s="1"/>
    </row>
    <row r="13" ht="16.5" customHeight="1">
      <c r="A13" s="2" t="str">
        <f t="shared" si="1"/>
        <v>1061</v>
      </c>
      <c r="B13" s="1" t="s">
        <v>50</v>
      </c>
      <c r="C13" s="9" t="s">
        <v>8</v>
      </c>
      <c r="D13" s="10" t="s">
        <v>51</v>
      </c>
      <c r="E13" s="10" t="s">
        <v>16</v>
      </c>
      <c r="F13" s="10" t="s">
        <v>18</v>
      </c>
      <c r="G13" s="10" t="s">
        <v>9</v>
      </c>
      <c r="H13" s="10" t="s">
        <v>17</v>
      </c>
      <c r="I13" s="11" t="s">
        <v>13</v>
      </c>
      <c r="J13" s="9" t="s">
        <v>15</v>
      </c>
      <c r="K13" s="10" t="s">
        <v>13</v>
      </c>
      <c r="L13" s="10" t="s">
        <v>14</v>
      </c>
      <c r="M13" s="10" t="s">
        <v>12</v>
      </c>
      <c r="N13" s="10" t="s">
        <v>11</v>
      </c>
      <c r="O13" s="10" t="s">
        <v>17</v>
      </c>
      <c r="P13" s="11" t="s">
        <v>20</v>
      </c>
      <c r="Q13" s="9" t="s">
        <v>17</v>
      </c>
      <c r="R13" s="10" t="s">
        <v>12</v>
      </c>
      <c r="S13" s="10" t="s">
        <v>14</v>
      </c>
      <c r="T13" s="10" t="s">
        <v>9</v>
      </c>
      <c r="U13" s="10" t="s">
        <v>51</v>
      </c>
      <c r="V13" s="11" t="s">
        <v>11</v>
      </c>
      <c r="W13" s="1" t="s">
        <v>10</v>
      </c>
      <c r="X13" s="9" t="s">
        <v>15</v>
      </c>
      <c r="Y13" s="10" t="s">
        <v>14</v>
      </c>
      <c r="Z13" s="10" t="s">
        <v>13</v>
      </c>
      <c r="AA13" s="10" t="s">
        <v>17</v>
      </c>
      <c r="AB13" s="10" t="s">
        <v>10</v>
      </c>
      <c r="AC13" s="10" t="s">
        <v>12</v>
      </c>
      <c r="AD13" s="11" t="s">
        <v>11</v>
      </c>
      <c r="AE13" s="9" t="s">
        <v>16</v>
      </c>
      <c r="AF13" s="10" t="s">
        <v>14</v>
      </c>
      <c r="AG13" s="10" t="s">
        <v>11</v>
      </c>
      <c r="AH13" s="10" t="s">
        <v>13</v>
      </c>
      <c r="AI13" s="10" t="s">
        <v>15</v>
      </c>
      <c r="AJ13" s="11" t="s">
        <v>12</v>
      </c>
      <c r="AK13" s="1" t="s">
        <v>21</v>
      </c>
      <c r="AL13" s="1" t="s">
        <v>50</v>
      </c>
      <c r="AM13" s="1" t="s">
        <v>36</v>
      </c>
    </row>
    <row r="14" ht="16.5" customHeight="1">
      <c r="A14" s="2" t="str">
        <f t="shared" si="1"/>
        <v>1062</v>
      </c>
      <c r="B14" s="1"/>
      <c r="C14" s="6" t="s">
        <v>36</v>
      </c>
      <c r="D14" s="7" t="s">
        <v>52</v>
      </c>
      <c r="E14" s="7" t="s">
        <v>29</v>
      </c>
      <c r="F14" s="7" t="s">
        <v>34</v>
      </c>
      <c r="G14" s="7" t="s">
        <v>43</v>
      </c>
      <c r="H14" s="7" t="s">
        <v>49</v>
      </c>
      <c r="I14" s="8" t="s">
        <v>46</v>
      </c>
      <c r="J14" s="6" t="s">
        <v>53</v>
      </c>
      <c r="K14" s="7" t="s">
        <v>46</v>
      </c>
      <c r="L14" s="7" t="s">
        <v>47</v>
      </c>
      <c r="M14" s="7" t="s">
        <v>36</v>
      </c>
      <c r="N14" s="7" t="s">
        <v>32</v>
      </c>
      <c r="O14" s="7" t="s">
        <v>49</v>
      </c>
      <c r="P14" s="8" t="s">
        <v>37</v>
      </c>
      <c r="Q14" s="6" t="s">
        <v>49</v>
      </c>
      <c r="R14" s="7" t="s">
        <v>26</v>
      </c>
      <c r="S14" s="7" t="s">
        <v>47</v>
      </c>
      <c r="T14" s="7" t="s">
        <v>43</v>
      </c>
      <c r="U14" s="7" t="s">
        <v>52</v>
      </c>
      <c r="V14" s="8" t="s">
        <v>24</v>
      </c>
      <c r="W14" s="1"/>
      <c r="X14" s="6" t="s">
        <v>53</v>
      </c>
      <c r="Y14" s="7" t="s">
        <v>47</v>
      </c>
      <c r="Z14" s="7" t="s">
        <v>46</v>
      </c>
      <c r="AA14" s="7" t="s">
        <v>49</v>
      </c>
      <c r="AB14" s="7" t="s">
        <v>37</v>
      </c>
      <c r="AC14" s="7" t="s">
        <v>26</v>
      </c>
      <c r="AD14" s="8" t="s">
        <v>25</v>
      </c>
      <c r="AE14" s="6" t="s">
        <v>29</v>
      </c>
      <c r="AF14" s="7" t="s">
        <v>47</v>
      </c>
      <c r="AG14" s="7" t="s">
        <v>33</v>
      </c>
      <c r="AH14" s="7" t="s">
        <v>46</v>
      </c>
      <c r="AI14" s="7" t="s">
        <v>53</v>
      </c>
      <c r="AJ14" s="8" t="s">
        <v>31</v>
      </c>
      <c r="AK14" s="1"/>
      <c r="AL14" s="1"/>
      <c r="AM14" s="1"/>
    </row>
    <row r="15" ht="16.5" customHeight="1">
      <c r="A15" s="2" t="str">
        <f t="shared" si="1"/>
        <v>1071</v>
      </c>
      <c r="B15" s="1" t="s">
        <v>54</v>
      </c>
      <c r="C15" s="9" t="s">
        <v>8</v>
      </c>
      <c r="D15" s="10" t="s">
        <v>17</v>
      </c>
      <c r="E15" s="10" t="s">
        <v>14</v>
      </c>
      <c r="F15" s="10" t="s">
        <v>11</v>
      </c>
      <c r="G15" s="10" t="s">
        <v>13</v>
      </c>
      <c r="H15" s="10" t="s">
        <v>12</v>
      </c>
      <c r="I15" s="11" t="s">
        <v>16</v>
      </c>
      <c r="J15" s="9" t="s">
        <v>14</v>
      </c>
      <c r="K15" s="10" t="s">
        <v>17</v>
      </c>
      <c r="L15" s="10" t="s">
        <v>13</v>
      </c>
      <c r="M15" s="10" t="s">
        <v>20</v>
      </c>
      <c r="N15" s="10" t="s">
        <v>51</v>
      </c>
      <c r="O15" s="10" t="s">
        <v>15</v>
      </c>
      <c r="P15" s="11" t="s">
        <v>12</v>
      </c>
      <c r="Q15" s="9" t="s">
        <v>10</v>
      </c>
      <c r="R15" s="10" t="s">
        <v>13</v>
      </c>
      <c r="S15" s="10" t="s">
        <v>16</v>
      </c>
      <c r="T15" s="10" t="s">
        <v>11</v>
      </c>
      <c r="U15" s="10" t="s">
        <v>12</v>
      </c>
      <c r="V15" s="11" t="s">
        <v>9</v>
      </c>
      <c r="W15" s="1" t="s">
        <v>10</v>
      </c>
      <c r="X15" s="9" t="s">
        <v>11</v>
      </c>
      <c r="Y15" s="10" t="s">
        <v>13</v>
      </c>
      <c r="Z15" s="10" t="s">
        <v>18</v>
      </c>
      <c r="AA15" s="10" t="s">
        <v>14</v>
      </c>
      <c r="AB15" s="10" t="s">
        <v>51</v>
      </c>
      <c r="AC15" s="10" t="s">
        <v>15</v>
      </c>
      <c r="AD15" s="11" t="s">
        <v>17</v>
      </c>
      <c r="AE15" s="9" t="s">
        <v>12</v>
      </c>
      <c r="AF15" s="10" t="s">
        <v>9</v>
      </c>
      <c r="AG15" s="10" t="s">
        <v>15</v>
      </c>
      <c r="AH15" s="10" t="s">
        <v>11</v>
      </c>
      <c r="AI15" s="10" t="s">
        <v>14</v>
      </c>
      <c r="AJ15" s="11" t="s">
        <v>17</v>
      </c>
      <c r="AK15" s="1" t="s">
        <v>21</v>
      </c>
      <c r="AL15" s="1" t="s">
        <v>54</v>
      </c>
      <c r="AM15" s="1" t="s">
        <v>47</v>
      </c>
    </row>
    <row r="16" ht="16.5" customHeight="1">
      <c r="A16" s="2" t="str">
        <f t="shared" si="1"/>
        <v>1072</v>
      </c>
      <c r="B16" s="1"/>
      <c r="C16" s="6" t="s">
        <v>47</v>
      </c>
      <c r="D16" s="7" t="s">
        <v>49</v>
      </c>
      <c r="E16" s="7" t="s">
        <v>47</v>
      </c>
      <c r="F16" s="7" t="s">
        <v>32</v>
      </c>
      <c r="G16" s="7" t="s">
        <v>46</v>
      </c>
      <c r="H16" s="7" t="s">
        <v>36</v>
      </c>
      <c r="I16" s="8" t="s">
        <v>29</v>
      </c>
      <c r="J16" s="6" t="s">
        <v>47</v>
      </c>
      <c r="K16" s="7" t="s">
        <v>49</v>
      </c>
      <c r="L16" s="7" t="s">
        <v>46</v>
      </c>
      <c r="M16" s="7" t="s">
        <v>55</v>
      </c>
      <c r="N16" s="7" t="s">
        <v>52</v>
      </c>
      <c r="O16" s="7" t="s">
        <v>53</v>
      </c>
      <c r="P16" s="8" t="s">
        <v>26</v>
      </c>
      <c r="Q16" s="6" t="s">
        <v>44</v>
      </c>
      <c r="R16" s="7" t="s">
        <v>46</v>
      </c>
      <c r="S16" s="7" t="s">
        <v>29</v>
      </c>
      <c r="T16" s="7" t="s">
        <v>24</v>
      </c>
      <c r="U16" s="7" t="s">
        <v>36</v>
      </c>
      <c r="V16" s="8" t="s">
        <v>43</v>
      </c>
      <c r="W16" s="1"/>
      <c r="X16" s="6" t="s">
        <v>33</v>
      </c>
      <c r="Y16" s="7" t="s">
        <v>46</v>
      </c>
      <c r="Z16" s="7" t="s">
        <v>34</v>
      </c>
      <c r="AA16" s="7" t="s">
        <v>47</v>
      </c>
      <c r="AB16" s="7" t="s">
        <v>52</v>
      </c>
      <c r="AC16" s="7" t="s">
        <v>53</v>
      </c>
      <c r="AD16" s="8" t="s">
        <v>49</v>
      </c>
      <c r="AE16" s="6" t="s">
        <v>26</v>
      </c>
      <c r="AF16" s="7" t="s">
        <v>43</v>
      </c>
      <c r="AG16" s="7" t="s">
        <v>53</v>
      </c>
      <c r="AH16" s="7" t="s">
        <v>25</v>
      </c>
      <c r="AI16" s="7" t="s">
        <v>47</v>
      </c>
      <c r="AJ16" s="8" t="s">
        <v>49</v>
      </c>
      <c r="AK16" s="1"/>
      <c r="AL16" s="1"/>
      <c r="AM16" s="1"/>
    </row>
    <row r="17" ht="16.5" customHeight="1">
      <c r="A17" s="2" t="str">
        <f t="shared" si="1"/>
        <v>1081</v>
      </c>
      <c r="B17" s="1" t="s">
        <v>56</v>
      </c>
      <c r="C17" s="9" t="s">
        <v>8</v>
      </c>
      <c r="D17" s="10" t="s">
        <v>12</v>
      </c>
      <c r="E17" s="10" t="s">
        <v>13</v>
      </c>
      <c r="F17" s="10" t="s">
        <v>17</v>
      </c>
      <c r="G17" s="10" t="s">
        <v>51</v>
      </c>
      <c r="H17" s="10" t="s">
        <v>11</v>
      </c>
      <c r="I17" s="11" t="s">
        <v>14</v>
      </c>
      <c r="J17" s="9" t="s">
        <v>16</v>
      </c>
      <c r="K17" s="10" t="s">
        <v>11</v>
      </c>
      <c r="L17" s="10" t="s">
        <v>15</v>
      </c>
      <c r="M17" s="10" t="s">
        <v>10</v>
      </c>
      <c r="N17" s="10" t="s">
        <v>9</v>
      </c>
      <c r="O17" s="10" t="s">
        <v>14</v>
      </c>
      <c r="P17" s="11" t="s">
        <v>17</v>
      </c>
      <c r="Q17" s="9" t="s">
        <v>15</v>
      </c>
      <c r="R17" s="10" t="s">
        <v>14</v>
      </c>
      <c r="S17" s="10" t="s">
        <v>17</v>
      </c>
      <c r="T17" s="10" t="s">
        <v>13</v>
      </c>
      <c r="U17" s="10" t="s">
        <v>12</v>
      </c>
      <c r="V17" s="11" t="s">
        <v>18</v>
      </c>
      <c r="W17" s="1" t="s">
        <v>10</v>
      </c>
      <c r="X17" s="9" t="s">
        <v>51</v>
      </c>
      <c r="Y17" s="10" t="s">
        <v>15</v>
      </c>
      <c r="Z17" s="10" t="s">
        <v>12</v>
      </c>
      <c r="AA17" s="10" t="s">
        <v>16</v>
      </c>
      <c r="AB17" s="10" t="s">
        <v>11</v>
      </c>
      <c r="AC17" s="10" t="s">
        <v>13</v>
      </c>
      <c r="AD17" s="11" t="s">
        <v>14</v>
      </c>
      <c r="AE17" s="9" t="s">
        <v>20</v>
      </c>
      <c r="AF17" s="10" t="s">
        <v>13</v>
      </c>
      <c r="AG17" s="10" t="s">
        <v>12</v>
      </c>
      <c r="AH17" s="10" t="s">
        <v>17</v>
      </c>
      <c r="AI17" s="10" t="s">
        <v>9</v>
      </c>
      <c r="AJ17" s="11" t="s">
        <v>11</v>
      </c>
      <c r="AK17" s="1" t="s">
        <v>21</v>
      </c>
      <c r="AL17" s="1" t="s">
        <v>56</v>
      </c>
      <c r="AM17" s="1" t="s">
        <v>49</v>
      </c>
    </row>
    <row r="18" ht="16.5" customHeight="1">
      <c r="A18" s="2" t="str">
        <f t="shared" si="1"/>
        <v>1082</v>
      </c>
      <c r="B18" s="1"/>
      <c r="C18" s="6" t="s">
        <v>49</v>
      </c>
      <c r="D18" s="7" t="s">
        <v>26</v>
      </c>
      <c r="E18" s="7" t="s">
        <v>46</v>
      </c>
      <c r="F18" s="7" t="s">
        <v>49</v>
      </c>
      <c r="G18" s="7" t="s">
        <v>52</v>
      </c>
      <c r="H18" s="7" t="s">
        <v>25</v>
      </c>
      <c r="I18" s="8" t="s">
        <v>57</v>
      </c>
      <c r="J18" s="6" t="s">
        <v>29</v>
      </c>
      <c r="K18" s="7" t="s">
        <v>24</v>
      </c>
      <c r="L18" s="7" t="s">
        <v>53</v>
      </c>
      <c r="M18" s="7" t="s">
        <v>48</v>
      </c>
      <c r="N18" s="7" t="s">
        <v>43</v>
      </c>
      <c r="O18" s="7" t="s">
        <v>57</v>
      </c>
      <c r="P18" s="8" t="s">
        <v>49</v>
      </c>
      <c r="Q18" s="6" t="s">
        <v>53</v>
      </c>
      <c r="R18" s="7" t="s">
        <v>57</v>
      </c>
      <c r="S18" s="7" t="s">
        <v>49</v>
      </c>
      <c r="T18" s="7" t="s">
        <v>46</v>
      </c>
      <c r="U18" s="7" t="s">
        <v>26</v>
      </c>
      <c r="V18" s="8" t="s">
        <v>34</v>
      </c>
      <c r="W18" s="1"/>
      <c r="X18" s="6" t="s">
        <v>52</v>
      </c>
      <c r="Y18" s="7" t="s">
        <v>53</v>
      </c>
      <c r="Z18" s="7" t="s">
        <v>36</v>
      </c>
      <c r="AA18" s="7" t="s">
        <v>29</v>
      </c>
      <c r="AB18" s="7" t="s">
        <v>33</v>
      </c>
      <c r="AC18" s="7" t="s">
        <v>46</v>
      </c>
      <c r="AD18" s="8" t="s">
        <v>57</v>
      </c>
      <c r="AE18" s="6" t="s">
        <v>55</v>
      </c>
      <c r="AF18" s="7" t="s">
        <v>46</v>
      </c>
      <c r="AG18" s="7" t="s">
        <v>36</v>
      </c>
      <c r="AH18" s="7" t="s">
        <v>49</v>
      </c>
      <c r="AI18" s="7" t="s">
        <v>43</v>
      </c>
      <c r="AJ18" s="8" t="s">
        <v>32</v>
      </c>
      <c r="AK18" s="1"/>
      <c r="AL18" s="1"/>
      <c r="AM18" s="1"/>
    </row>
    <row r="19" ht="16.5" customHeight="1">
      <c r="A19" s="2" t="str">
        <f t="shared" si="1"/>
        <v>1091</v>
      </c>
      <c r="B19" s="1" t="s">
        <v>58</v>
      </c>
      <c r="C19" s="9" t="s">
        <v>8</v>
      </c>
      <c r="D19" s="10" t="s">
        <v>14</v>
      </c>
      <c r="E19" s="10" t="s">
        <v>12</v>
      </c>
      <c r="F19" s="10" t="s">
        <v>10</v>
      </c>
      <c r="G19" s="10" t="s">
        <v>15</v>
      </c>
      <c r="H19" s="10" t="s">
        <v>13</v>
      </c>
      <c r="I19" s="11" t="s">
        <v>17</v>
      </c>
      <c r="J19" s="9" t="s">
        <v>12</v>
      </c>
      <c r="K19" s="10" t="s">
        <v>11</v>
      </c>
      <c r="L19" s="10" t="s">
        <v>51</v>
      </c>
      <c r="M19" s="10" t="s">
        <v>14</v>
      </c>
      <c r="N19" s="10" t="s">
        <v>17</v>
      </c>
      <c r="O19" s="10" t="s">
        <v>13</v>
      </c>
      <c r="P19" s="11" t="s">
        <v>16</v>
      </c>
      <c r="Q19" s="9" t="s">
        <v>11</v>
      </c>
      <c r="R19" s="10" t="s">
        <v>12</v>
      </c>
      <c r="S19" s="10" t="s">
        <v>9</v>
      </c>
      <c r="T19" s="10" t="s">
        <v>13</v>
      </c>
      <c r="U19" s="10" t="s">
        <v>15</v>
      </c>
      <c r="V19" s="11" t="s">
        <v>20</v>
      </c>
      <c r="W19" s="1" t="s">
        <v>10</v>
      </c>
      <c r="X19" s="9" t="s">
        <v>17</v>
      </c>
      <c r="Y19" s="10" t="s">
        <v>14</v>
      </c>
      <c r="Z19" s="10" t="s">
        <v>13</v>
      </c>
      <c r="AA19" s="10" t="s">
        <v>9</v>
      </c>
      <c r="AB19" s="10" t="s">
        <v>11</v>
      </c>
      <c r="AC19" s="10" t="s">
        <v>16</v>
      </c>
      <c r="AD19" s="11" t="s">
        <v>12</v>
      </c>
      <c r="AE19" s="9" t="s">
        <v>14</v>
      </c>
      <c r="AF19" s="10" t="s">
        <v>15</v>
      </c>
      <c r="AG19" s="10" t="s">
        <v>18</v>
      </c>
      <c r="AH19" s="10" t="s">
        <v>11</v>
      </c>
      <c r="AI19" s="10" t="s">
        <v>51</v>
      </c>
      <c r="AJ19" s="11" t="s">
        <v>17</v>
      </c>
      <c r="AK19" s="1" t="s">
        <v>21</v>
      </c>
      <c r="AL19" s="1" t="s">
        <v>58</v>
      </c>
      <c r="AM19" s="1" t="s">
        <v>57</v>
      </c>
    </row>
    <row r="20" ht="16.5" customHeight="1">
      <c r="A20" s="2" t="str">
        <f t="shared" si="1"/>
        <v>1092</v>
      </c>
      <c r="B20" s="1"/>
      <c r="C20" s="6" t="s">
        <v>57</v>
      </c>
      <c r="D20" s="7" t="s">
        <v>57</v>
      </c>
      <c r="E20" s="7" t="s">
        <v>36</v>
      </c>
      <c r="F20" s="7" t="s">
        <v>35</v>
      </c>
      <c r="G20" s="7" t="s">
        <v>53</v>
      </c>
      <c r="H20" s="7" t="s">
        <v>59</v>
      </c>
      <c r="I20" s="8" t="s">
        <v>60</v>
      </c>
      <c r="J20" s="6" t="s">
        <v>26</v>
      </c>
      <c r="K20" s="7" t="s">
        <v>33</v>
      </c>
      <c r="L20" s="7" t="s">
        <v>52</v>
      </c>
      <c r="M20" s="7" t="s">
        <v>57</v>
      </c>
      <c r="N20" s="7" t="s">
        <v>60</v>
      </c>
      <c r="O20" s="7" t="s">
        <v>59</v>
      </c>
      <c r="P20" s="8" t="s">
        <v>29</v>
      </c>
      <c r="Q20" s="6" t="s">
        <v>25</v>
      </c>
      <c r="R20" s="7" t="s">
        <v>36</v>
      </c>
      <c r="S20" s="7" t="s">
        <v>43</v>
      </c>
      <c r="T20" s="7" t="s">
        <v>59</v>
      </c>
      <c r="U20" s="7" t="s">
        <v>53</v>
      </c>
      <c r="V20" s="8" t="s">
        <v>55</v>
      </c>
      <c r="W20" s="1"/>
      <c r="X20" s="6" t="s">
        <v>60</v>
      </c>
      <c r="Y20" s="7" t="s">
        <v>57</v>
      </c>
      <c r="Z20" s="7" t="s">
        <v>59</v>
      </c>
      <c r="AA20" s="7" t="s">
        <v>43</v>
      </c>
      <c r="AB20" s="7" t="s">
        <v>24</v>
      </c>
      <c r="AC20" s="7" t="s">
        <v>29</v>
      </c>
      <c r="AD20" s="8" t="s">
        <v>26</v>
      </c>
      <c r="AE20" s="6" t="s">
        <v>57</v>
      </c>
      <c r="AF20" s="7" t="s">
        <v>53</v>
      </c>
      <c r="AG20" s="7" t="s">
        <v>34</v>
      </c>
      <c r="AH20" s="7" t="s">
        <v>32</v>
      </c>
      <c r="AI20" s="7" t="s">
        <v>52</v>
      </c>
      <c r="AJ20" s="8" t="s">
        <v>60</v>
      </c>
      <c r="AK20" s="1"/>
      <c r="AL20" s="1"/>
      <c r="AM20" s="1"/>
    </row>
    <row r="21" ht="16.5" customHeight="1">
      <c r="A21" s="2">
        <v>2011.0</v>
      </c>
      <c r="B21" s="1" t="s">
        <v>61</v>
      </c>
      <c r="C21" s="3" t="s">
        <v>8</v>
      </c>
      <c r="D21" s="12" t="s">
        <v>62</v>
      </c>
      <c r="E21" s="13" t="s">
        <v>63</v>
      </c>
      <c r="F21" s="14" t="s">
        <v>64</v>
      </c>
      <c r="G21" s="15" t="s">
        <v>65</v>
      </c>
      <c r="H21" s="16" t="s">
        <v>66</v>
      </c>
      <c r="I21" s="17" t="s">
        <v>67</v>
      </c>
      <c r="J21" s="16" t="s">
        <v>66</v>
      </c>
      <c r="K21" s="15" t="s">
        <v>65</v>
      </c>
      <c r="L21" s="17" t="s">
        <v>67</v>
      </c>
      <c r="M21" s="13" t="s">
        <v>63</v>
      </c>
      <c r="N21" s="18" t="s">
        <v>68</v>
      </c>
      <c r="O21" s="12" t="s">
        <v>62</v>
      </c>
      <c r="P21" s="19" t="s">
        <v>69</v>
      </c>
      <c r="Q21" s="18" t="s">
        <v>68</v>
      </c>
      <c r="R21" s="13" t="s">
        <v>63</v>
      </c>
      <c r="S21" s="14" t="s">
        <v>64</v>
      </c>
      <c r="T21" s="12" t="s">
        <v>62</v>
      </c>
      <c r="U21" s="19" t="s">
        <v>69</v>
      </c>
      <c r="V21" s="15" t="s">
        <v>65</v>
      </c>
      <c r="W21" s="1" t="s">
        <v>10</v>
      </c>
      <c r="X21" s="19" t="s">
        <v>69</v>
      </c>
      <c r="Y21" s="18" t="s">
        <v>68</v>
      </c>
      <c r="Z21" s="12" t="s">
        <v>62</v>
      </c>
      <c r="AA21" s="13" t="s">
        <v>63</v>
      </c>
      <c r="AB21" s="14" t="s">
        <v>64</v>
      </c>
      <c r="AC21" s="17" t="s">
        <v>67</v>
      </c>
      <c r="AD21" s="16" t="s">
        <v>66</v>
      </c>
      <c r="AE21" s="18" t="s">
        <v>68</v>
      </c>
      <c r="AF21" s="17" t="s">
        <v>67</v>
      </c>
      <c r="AG21" s="19" t="s">
        <v>69</v>
      </c>
      <c r="AH21" s="15" t="s">
        <v>65</v>
      </c>
      <c r="AI21" s="14" t="s">
        <v>64</v>
      </c>
      <c r="AJ21" s="16" t="s">
        <v>66</v>
      </c>
      <c r="AK21" s="1" t="s">
        <v>21</v>
      </c>
      <c r="AL21" s="1" t="s">
        <v>61</v>
      </c>
      <c r="AM21" s="1" t="s">
        <v>70</v>
      </c>
    </row>
    <row r="22" ht="16.5" customHeight="1">
      <c r="A22" s="2">
        <v>2012.0</v>
      </c>
      <c r="B22" s="1"/>
      <c r="C22" s="6" t="s">
        <v>70</v>
      </c>
      <c r="D22" s="20"/>
      <c r="E22" s="21"/>
      <c r="F22" s="22"/>
      <c r="G22" s="23"/>
      <c r="H22" s="24"/>
      <c r="I22" s="25"/>
      <c r="J22" s="24"/>
      <c r="K22" s="23"/>
      <c r="L22" s="25"/>
      <c r="M22" s="21"/>
      <c r="N22" s="26"/>
      <c r="O22" s="20"/>
      <c r="P22" s="27"/>
      <c r="Q22" s="26"/>
      <c r="R22" s="21"/>
      <c r="S22" s="22"/>
      <c r="T22" s="20"/>
      <c r="U22" s="27"/>
      <c r="V22" s="23"/>
      <c r="W22" s="1"/>
      <c r="X22" s="27"/>
      <c r="Y22" s="26"/>
      <c r="Z22" s="20"/>
      <c r="AA22" s="21"/>
      <c r="AB22" s="22"/>
      <c r="AC22" s="25"/>
      <c r="AD22" s="24"/>
      <c r="AE22" s="26"/>
      <c r="AF22" s="25"/>
      <c r="AG22" s="27"/>
      <c r="AH22" s="23"/>
      <c r="AI22" s="22"/>
      <c r="AJ22" s="24"/>
      <c r="AK22" s="1"/>
      <c r="AL22" s="1"/>
      <c r="AM22" s="1"/>
    </row>
    <row r="23" ht="16.5" customHeight="1">
      <c r="A23" s="2" t="str">
        <f t="shared" ref="A23:A38" si="2">A21+10</f>
        <v>2021</v>
      </c>
      <c r="B23" s="1" t="s">
        <v>71</v>
      </c>
      <c r="C23" s="9" t="s">
        <v>8</v>
      </c>
      <c r="D23" s="28" t="s">
        <v>62</v>
      </c>
      <c r="E23" s="13" t="s">
        <v>63</v>
      </c>
      <c r="F23" s="14" t="s">
        <v>64</v>
      </c>
      <c r="G23" s="15" t="s">
        <v>65</v>
      </c>
      <c r="H23" s="16" t="s">
        <v>66</v>
      </c>
      <c r="I23" s="17" t="s">
        <v>67</v>
      </c>
      <c r="J23" s="16" t="s">
        <v>66</v>
      </c>
      <c r="K23" s="15" t="s">
        <v>65</v>
      </c>
      <c r="L23" s="17" t="s">
        <v>67</v>
      </c>
      <c r="M23" s="13" t="s">
        <v>63</v>
      </c>
      <c r="N23" s="18" t="s">
        <v>68</v>
      </c>
      <c r="O23" s="28" t="s">
        <v>62</v>
      </c>
      <c r="P23" s="19" t="s">
        <v>69</v>
      </c>
      <c r="Q23" s="18" t="s">
        <v>68</v>
      </c>
      <c r="R23" s="13" t="s">
        <v>63</v>
      </c>
      <c r="S23" s="14" t="s">
        <v>64</v>
      </c>
      <c r="T23" s="28" t="s">
        <v>62</v>
      </c>
      <c r="U23" s="19" t="s">
        <v>69</v>
      </c>
      <c r="V23" s="15" t="s">
        <v>65</v>
      </c>
      <c r="W23" s="1" t="s">
        <v>10</v>
      </c>
      <c r="X23" s="19" t="s">
        <v>69</v>
      </c>
      <c r="Y23" s="18" t="s">
        <v>68</v>
      </c>
      <c r="Z23" s="28" t="s">
        <v>62</v>
      </c>
      <c r="AA23" s="13" t="s">
        <v>63</v>
      </c>
      <c r="AB23" s="14" t="s">
        <v>64</v>
      </c>
      <c r="AC23" s="17" t="s">
        <v>67</v>
      </c>
      <c r="AD23" s="16" t="s">
        <v>66</v>
      </c>
      <c r="AE23" s="18" t="s">
        <v>68</v>
      </c>
      <c r="AF23" s="17" t="s">
        <v>67</v>
      </c>
      <c r="AG23" s="19" t="s">
        <v>69</v>
      </c>
      <c r="AH23" s="15" t="s">
        <v>65</v>
      </c>
      <c r="AI23" s="14" t="s">
        <v>64</v>
      </c>
      <c r="AJ23" s="16" t="s">
        <v>66</v>
      </c>
      <c r="AK23" s="1" t="s">
        <v>21</v>
      </c>
      <c r="AL23" s="1" t="s">
        <v>71</v>
      </c>
      <c r="AM23" s="1" t="s">
        <v>72</v>
      </c>
    </row>
    <row r="24" ht="16.5" customHeight="1">
      <c r="A24" s="2" t="str">
        <f t="shared" si="2"/>
        <v>2022</v>
      </c>
      <c r="B24" s="1"/>
      <c r="C24" s="6" t="s">
        <v>72</v>
      </c>
      <c r="D24" s="20"/>
      <c r="E24" s="21"/>
      <c r="F24" s="22"/>
      <c r="G24" s="23"/>
      <c r="H24" s="24"/>
      <c r="I24" s="25"/>
      <c r="J24" s="24"/>
      <c r="K24" s="23"/>
      <c r="L24" s="25"/>
      <c r="M24" s="21"/>
      <c r="N24" s="26"/>
      <c r="O24" s="20"/>
      <c r="P24" s="27"/>
      <c r="Q24" s="26"/>
      <c r="R24" s="21"/>
      <c r="S24" s="22"/>
      <c r="T24" s="20"/>
      <c r="U24" s="27"/>
      <c r="V24" s="23"/>
      <c r="W24" s="1"/>
      <c r="X24" s="27"/>
      <c r="Y24" s="26"/>
      <c r="Z24" s="20"/>
      <c r="AA24" s="21"/>
      <c r="AB24" s="22"/>
      <c r="AC24" s="25"/>
      <c r="AD24" s="24"/>
      <c r="AE24" s="26"/>
      <c r="AF24" s="25"/>
      <c r="AG24" s="27"/>
      <c r="AH24" s="23"/>
      <c r="AI24" s="22"/>
      <c r="AJ24" s="24"/>
      <c r="AK24" s="1"/>
      <c r="AL24" s="1"/>
      <c r="AM24" s="1"/>
    </row>
    <row r="25" ht="16.5" customHeight="1">
      <c r="A25" s="2" t="str">
        <f t="shared" si="2"/>
        <v>2031</v>
      </c>
      <c r="B25" s="1" t="s">
        <v>73</v>
      </c>
      <c r="C25" s="9" t="s">
        <v>8</v>
      </c>
      <c r="D25" s="28" t="s">
        <v>62</v>
      </c>
      <c r="E25" s="13" t="s">
        <v>63</v>
      </c>
      <c r="F25" s="14" t="s">
        <v>64</v>
      </c>
      <c r="G25" s="15" t="s">
        <v>65</v>
      </c>
      <c r="H25" s="16" t="s">
        <v>66</v>
      </c>
      <c r="I25" s="17" t="s">
        <v>67</v>
      </c>
      <c r="J25" s="16" t="s">
        <v>66</v>
      </c>
      <c r="K25" s="15" t="s">
        <v>65</v>
      </c>
      <c r="L25" s="17" t="s">
        <v>67</v>
      </c>
      <c r="M25" s="13" t="s">
        <v>63</v>
      </c>
      <c r="N25" s="18" t="s">
        <v>68</v>
      </c>
      <c r="O25" s="28" t="s">
        <v>62</v>
      </c>
      <c r="P25" s="19" t="s">
        <v>69</v>
      </c>
      <c r="Q25" s="18" t="s">
        <v>68</v>
      </c>
      <c r="R25" s="13" t="s">
        <v>63</v>
      </c>
      <c r="S25" s="14" t="s">
        <v>64</v>
      </c>
      <c r="T25" s="28" t="s">
        <v>62</v>
      </c>
      <c r="U25" s="19" t="s">
        <v>69</v>
      </c>
      <c r="V25" s="15" t="s">
        <v>65</v>
      </c>
      <c r="W25" s="1" t="s">
        <v>10</v>
      </c>
      <c r="X25" s="19" t="s">
        <v>69</v>
      </c>
      <c r="Y25" s="18" t="s">
        <v>68</v>
      </c>
      <c r="Z25" s="28" t="s">
        <v>62</v>
      </c>
      <c r="AA25" s="13" t="s">
        <v>63</v>
      </c>
      <c r="AB25" s="14" t="s">
        <v>64</v>
      </c>
      <c r="AC25" s="17" t="s">
        <v>67</v>
      </c>
      <c r="AD25" s="16" t="s">
        <v>66</v>
      </c>
      <c r="AE25" s="18" t="s">
        <v>68</v>
      </c>
      <c r="AF25" s="17" t="s">
        <v>67</v>
      </c>
      <c r="AG25" s="19" t="s">
        <v>69</v>
      </c>
      <c r="AH25" s="15" t="s">
        <v>65</v>
      </c>
      <c r="AI25" s="14" t="s">
        <v>64</v>
      </c>
      <c r="AJ25" s="16" t="s">
        <v>66</v>
      </c>
      <c r="AK25" s="1" t="s">
        <v>21</v>
      </c>
      <c r="AL25" s="1" t="s">
        <v>73</v>
      </c>
      <c r="AM25" s="1" t="s">
        <v>74</v>
      </c>
    </row>
    <row r="26" ht="16.5" customHeight="1">
      <c r="A26" s="2" t="str">
        <f t="shared" si="2"/>
        <v>2032</v>
      </c>
      <c r="B26" s="1"/>
      <c r="C26" s="6" t="s">
        <v>74</v>
      </c>
      <c r="D26" s="20"/>
      <c r="E26" s="21"/>
      <c r="F26" s="22"/>
      <c r="G26" s="23"/>
      <c r="H26" s="24"/>
      <c r="I26" s="25"/>
      <c r="J26" s="24"/>
      <c r="K26" s="23"/>
      <c r="L26" s="25"/>
      <c r="M26" s="21"/>
      <c r="N26" s="26"/>
      <c r="O26" s="20"/>
      <c r="P26" s="27"/>
      <c r="Q26" s="26"/>
      <c r="R26" s="21"/>
      <c r="S26" s="22"/>
      <c r="T26" s="20"/>
      <c r="U26" s="27"/>
      <c r="V26" s="23"/>
      <c r="W26" s="1"/>
      <c r="X26" s="27"/>
      <c r="Y26" s="26"/>
      <c r="Z26" s="20"/>
      <c r="AA26" s="21"/>
      <c r="AB26" s="22"/>
      <c r="AC26" s="25"/>
      <c r="AD26" s="24"/>
      <c r="AE26" s="26"/>
      <c r="AF26" s="25"/>
      <c r="AG26" s="27"/>
      <c r="AH26" s="23"/>
      <c r="AI26" s="22"/>
      <c r="AJ26" s="24"/>
      <c r="AK26" s="1"/>
      <c r="AL26" s="1"/>
      <c r="AM26" s="1"/>
    </row>
    <row r="27" ht="16.5" customHeight="1">
      <c r="A27" s="2" t="str">
        <f t="shared" si="2"/>
        <v>2041</v>
      </c>
      <c r="B27" s="1" t="s">
        <v>75</v>
      </c>
      <c r="C27" s="9" t="s">
        <v>8</v>
      </c>
      <c r="D27" s="28" t="s">
        <v>62</v>
      </c>
      <c r="E27" s="13" t="s">
        <v>63</v>
      </c>
      <c r="F27" s="14" t="s">
        <v>64</v>
      </c>
      <c r="G27" s="15" t="s">
        <v>65</v>
      </c>
      <c r="H27" s="16" t="s">
        <v>66</v>
      </c>
      <c r="I27" s="17" t="s">
        <v>67</v>
      </c>
      <c r="J27" s="16" t="s">
        <v>66</v>
      </c>
      <c r="K27" s="15" t="s">
        <v>65</v>
      </c>
      <c r="L27" s="17" t="s">
        <v>67</v>
      </c>
      <c r="M27" s="13" t="s">
        <v>63</v>
      </c>
      <c r="N27" s="18" t="s">
        <v>68</v>
      </c>
      <c r="O27" s="28" t="s">
        <v>62</v>
      </c>
      <c r="P27" s="19" t="s">
        <v>69</v>
      </c>
      <c r="Q27" s="18" t="s">
        <v>68</v>
      </c>
      <c r="R27" s="13" t="s">
        <v>63</v>
      </c>
      <c r="S27" s="14" t="s">
        <v>64</v>
      </c>
      <c r="T27" s="28" t="s">
        <v>62</v>
      </c>
      <c r="U27" s="19" t="s">
        <v>69</v>
      </c>
      <c r="V27" s="15" t="s">
        <v>65</v>
      </c>
      <c r="W27" s="1" t="s">
        <v>10</v>
      </c>
      <c r="X27" s="19" t="s">
        <v>69</v>
      </c>
      <c r="Y27" s="18" t="s">
        <v>68</v>
      </c>
      <c r="Z27" s="28" t="s">
        <v>62</v>
      </c>
      <c r="AA27" s="13" t="s">
        <v>63</v>
      </c>
      <c r="AB27" s="14" t="s">
        <v>64</v>
      </c>
      <c r="AC27" s="17" t="s">
        <v>67</v>
      </c>
      <c r="AD27" s="16" t="s">
        <v>66</v>
      </c>
      <c r="AE27" s="18" t="s">
        <v>68</v>
      </c>
      <c r="AF27" s="17" t="s">
        <v>67</v>
      </c>
      <c r="AG27" s="19" t="s">
        <v>69</v>
      </c>
      <c r="AH27" s="15" t="s">
        <v>65</v>
      </c>
      <c r="AI27" s="14" t="s">
        <v>64</v>
      </c>
      <c r="AJ27" s="16" t="s">
        <v>66</v>
      </c>
      <c r="AK27" s="1" t="s">
        <v>21</v>
      </c>
      <c r="AL27" s="1" t="s">
        <v>75</v>
      </c>
      <c r="AM27" s="1" t="s">
        <v>76</v>
      </c>
    </row>
    <row r="28" ht="16.5" customHeight="1">
      <c r="A28" s="2" t="str">
        <f t="shared" si="2"/>
        <v>2042</v>
      </c>
      <c r="B28" s="1"/>
      <c r="C28" s="6" t="s">
        <v>76</v>
      </c>
      <c r="D28" s="20"/>
      <c r="E28" s="21"/>
      <c r="F28" s="22"/>
      <c r="G28" s="23"/>
      <c r="H28" s="24"/>
      <c r="I28" s="25"/>
      <c r="J28" s="24"/>
      <c r="K28" s="23"/>
      <c r="L28" s="25"/>
      <c r="M28" s="21"/>
      <c r="N28" s="26"/>
      <c r="O28" s="20"/>
      <c r="P28" s="27"/>
      <c r="Q28" s="26"/>
      <c r="R28" s="21"/>
      <c r="S28" s="22"/>
      <c r="T28" s="20"/>
      <c r="U28" s="27"/>
      <c r="V28" s="23"/>
      <c r="W28" s="1"/>
      <c r="X28" s="27"/>
      <c r="Y28" s="26"/>
      <c r="Z28" s="20"/>
      <c r="AA28" s="21"/>
      <c r="AB28" s="22"/>
      <c r="AC28" s="25"/>
      <c r="AD28" s="24"/>
      <c r="AE28" s="26"/>
      <c r="AF28" s="25"/>
      <c r="AG28" s="27"/>
      <c r="AH28" s="23"/>
      <c r="AI28" s="22"/>
      <c r="AJ28" s="24"/>
      <c r="AK28" s="1"/>
      <c r="AL28" s="1"/>
      <c r="AM28" s="1"/>
    </row>
    <row r="29" ht="16.5" customHeight="1">
      <c r="A29" s="2" t="str">
        <f t="shared" si="2"/>
        <v>2051</v>
      </c>
      <c r="B29" s="1" t="s">
        <v>77</v>
      </c>
      <c r="C29" s="9" t="s">
        <v>8</v>
      </c>
      <c r="D29" s="28" t="s">
        <v>62</v>
      </c>
      <c r="E29" s="13" t="s">
        <v>63</v>
      </c>
      <c r="F29" s="14" t="s">
        <v>64</v>
      </c>
      <c r="G29" s="15" t="s">
        <v>65</v>
      </c>
      <c r="H29" s="16" t="s">
        <v>66</v>
      </c>
      <c r="I29" s="17" t="s">
        <v>67</v>
      </c>
      <c r="J29" s="16" t="s">
        <v>66</v>
      </c>
      <c r="K29" s="15" t="s">
        <v>65</v>
      </c>
      <c r="L29" s="17" t="s">
        <v>67</v>
      </c>
      <c r="M29" s="13" t="s">
        <v>63</v>
      </c>
      <c r="N29" s="18" t="s">
        <v>68</v>
      </c>
      <c r="O29" s="28" t="s">
        <v>62</v>
      </c>
      <c r="P29" s="19" t="s">
        <v>69</v>
      </c>
      <c r="Q29" s="18" t="s">
        <v>68</v>
      </c>
      <c r="R29" s="13" t="s">
        <v>63</v>
      </c>
      <c r="S29" s="14" t="s">
        <v>64</v>
      </c>
      <c r="T29" s="28" t="s">
        <v>62</v>
      </c>
      <c r="U29" s="19" t="s">
        <v>69</v>
      </c>
      <c r="V29" s="15" t="s">
        <v>65</v>
      </c>
      <c r="W29" s="1" t="s">
        <v>10</v>
      </c>
      <c r="X29" s="19" t="s">
        <v>69</v>
      </c>
      <c r="Y29" s="18" t="s">
        <v>68</v>
      </c>
      <c r="Z29" s="28" t="s">
        <v>62</v>
      </c>
      <c r="AA29" s="13" t="s">
        <v>63</v>
      </c>
      <c r="AB29" s="14" t="s">
        <v>64</v>
      </c>
      <c r="AC29" s="17" t="s">
        <v>67</v>
      </c>
      <c r="AD29" s="16" t="s">
        <v>66</v>
      </c>
      <c r="AE29" s="18" t="s">
        <v>68</v>
      </c>
      <c r="AF29" s="17" t="s">
        <v>67</v>
      </c>
      <c r="AG29" s="19" t="s">
        <v>69</v>
      </c>
      <c r="AH29" s="15" t="s">
        <v>65</v>
      </c>
      <c r="AI29" s="14" t="s">
        <v>64</v>
      </c>
      <c r="AJ29" s="16" t="s">
        <v>66</v>
      </c>
      <c r="AK29" s="1" t="s">
        <v>21</v>
      </c>
      <c r="AL29" s="1" t="s">
        <v>77</v>
      </c>
      <c r="AM29" s="1" t="s">
        <v>78</v>
      </c>
    </row>
    <row r="30" ht="16.5" customHeight="1">
      <c r="A30" s="2" t="str">
        <f t="shared" si="2"/>
        <v>2052</v>
      </c>
      <c r="B30" s="1"/>
      <c r="C30" s="6" t="s">
        <v>78</v>
      </c>
      <c r="D30" s="20"/>
      <c r="E30" s="21"/>
      <c r="F30" s="22"/>
      <c r="G30" s="23"/>
      <c r="H30" s="24"/>
      <c r="I30" s="25"/>
      <c r="J30" s="24"/>
      <c r="K30" s="23"/>
      <c r="L30" s="25"/>
      <c r="M30" s="21"/>
      <c r="N30" s="26"/>
      <c r="O30" s="20"/>
      <c r="P30" s="27"/>
      <c r="Q30" s="26"/>
      <c r="R30" s="21"/>
      <c r="S30" s="22"/>
      <c r="T30" s="20"/>
      <c r="U30" s="27"/>
      <c r="V30" s="23"/>
      <c r="W30" s="1"/>
      <c r="X30" s="27"/>
      <c r="Y30" s="26"/>
      <c r="Z30" s="20"/>
      <c r="AA30" s="21"/>
      <c r="AB30" s="22"/>
      <c r="AC30" s="25"/>
      <c r="AD30" s="24"/>
      <c r="AE30" s="26"/>
      <c r="AF30" s="25"/>
      <c r="AG30" s="27"/>
      <c r="AH30" s="23"/>
      <c r="AI30" s="22"/>
      <c r="AJ30" s="24"/>
      <c r="AK30" s="1"/>
      <c r="AL30" s="1"/>
      <c r="AM30" s="1"/>
    </row>
    <row r="31" ht="16.5" customHeight="1">
      <c r="A31" s="2" t="str">
        <f t="shared" si="2"/>
        <v>2061</v>
      </c>
      <c r="B31" s="1" t="s">
        <v>79</v>
      </c>
      <c r="C31" s="9" t="s">
        <v>8</v>
      </c>
      <c r="D31" s="28" t="s">
        <v>62</v>
      </c>
      <c r="E31" s="13" t="s">
        <v>63</v>
      </c>
      <c r="F31" s="14" t="s">
        <v>64</v>
      </c>
      <c r="G31" s="15" t="s">
        <v>65</v>
      </c>
      <c r="H31" s="16" t="s">
        <v>66</v>
      </c>
      <c r="I31" s="17" t="s">
        <v>67</v>
      </c>
      <c r="J31" s="16" t="s">
        <v>66</v>
      </c>
      <c r="K31" s="15" t="s">
        <v>65</v>
      </c>
      <c r="L31" s="17" t="s">
        <v>67</v>
      </c>
      <c r="M31" s="13" t="s">
        <v>63</v>
      </c>
      <c r="N31" s="18" t="s">
        <v>68</v>
      </c>
      <c r="O31" s="28" t="s">
        <v>62</v>
      </c>
      <c r="P31" s="19" t="s">
        <v>69</v>
      </c>
      <c r="Q31" s="18" t="s">
        <v>68</v>
      </c>
      <c r="R31" s="13" t="s">
        <v>63</v>
      </c>
      <c r="S31" s="14" t="s">
        <v>64</v>
      </c>
      <c r="T31" s="28" t="s">
        <v>62</v>
      </c>
      <c r="U31" s="19" t="s">
        <v>69</v>
      </c>
      <c r="V31" s="15" t="s">
        <v>65</v>
      </c>
      <c r="W31" s="1" t="s">
        <v>10</v>
      </c>
      <c r="X31" s="19" t="s">
        <v>69</v>
      </c>
      <c r="Y31" s="18" t="s">
        <v>68</v>
      </c>
      <c r="Z31" s="28" t="s">
        <v>62</v>
      </c>
      <c r="AA31" s="13" t="s">
        <v>63</v>
      </c>
      <c r="AB31" s="14" t="s">
        <v>64</v>
      </c>
      <c r="AC31" s="17" t="s">
        <v>67</v>
      </c>
      <c r="AD31" s="16" t="s">
        <v>66</v>
      </c>
      <c r="AE31" s="18" t="s">
        <v>68</v>
      </c>
      <c r="AF31" s="17" t="s">
        <v>67</v>
      </c>
      <c r="AG31" s="19" t="s">
        <v>69</v>
      </c>
      <c r="AH31" s="15" t="s">
        <v>65</v>
      </c>
      <c r="AI31" s="14" t="s">
        <v>64</v>
      </c>
      <c r="AJ31" s="16" t="s">
        <v>66</v>
      </c>
      <c r="AK31" s="1" t="s">
        <v>21</v>
      </c>
      <c r="AL31" s="1" t="s">
        <v>79</v>
      </c>
      <c r="AM31" s="1" t="s">
        <v>80</v>
      </c>
    </row>
    <row r="32" ht="16.5" customHeight="1">
      <c r="A32" s="2" t="str">
        <f t="shared" si="2"/>
        <v>2062</v>
      </c>
      <c r="B32" s="1"/>
      <c r="C32" s="6" t="s">
        <v>80</v>
      </c>
      <c r="D32" s="20"/>
      <c r="E32" s="21"/>
      <c r="F32" s="22"/>
      <c r="G32" s="23"/>
      <c r="H32" s="24"/>
      <c r="I32" s="25"/>
      <c r="J32" s="24"/>
      <c r="K32" s="23"/>
      <c r="L32" s="25"/>
      <c r="M32" s="21"/>
      <c r="N32" s="26"/>
      <c r="O32" s="20"/>
      <c r="P32" s="27"/>
      <c r="Q32" s="26"/>
      <c r="R32" s="21"/>
      <c r="S32" s="22"/>
      <c r="T32" s="20"/>
      <c r="U32" s="27"/>
      <c r="V32" s="23"/>
      <c r="W32" s="1"/>
      <c r="X32" s="27"/>
      <c r="Y32" s="26"/>
      <c r="Z32" s="20"/>
      <c r="AA32" s="21"/>
      <c r="AB32" s="22"/>
      <c r="AC32" s="25"/>
      <c r="AD32" s="24"/>
      <c r="AE32" s="26"/>
      <c r="AF32" s="25"/>
      <c r="AG32" s="27"/>
      <c r="AH32" s="23"/>
      <c r="AI32" s="22"/>
      <c r="AJ32" s="24"/>
      <c r="AK32" s="1"/>
      <c r="AL32" s="1"/>
      <c r="AM32" s="1"/>
    </row>
    <row r="33" ht="16.5" customHeight="1">
      <c r="A33" s="2" t="str">
        <f t="shared" si="2"/>
        <v>2071</v>
      </c>
      <c r="B33" s="1" t="s">
        <v>81</v>
      </c>
      <c r="C33" s="9" t="s">
        <v>8</v>
      </c>
      <c r="D33" s="28" t="s">
        <v>62</v>
      </c>
      <c r="E33" s="13" t="s">
        <v>63</v>
      </c>
      <c r="F33" s="14" t="s">
        <v>64</v>
      </c>
      <c r="G33" s="15" t="s">
        <v>65</v>
      </c>
      <c r="H33" s="16" t="s">
        <v>66</v>
      </c>
      <c r="I33" s="17" t="s">
        <v>67</v>
      </c>
      <c r="J33" s="16" t="s">
        <v>66</v>
      </c>
      <c r="K33" s="15" t="s">
        <v>65</v>
      </c>
      <c r="L33" s="17" t="s">
        <v>67</v>
      </c>
      <c r="M33" s="13" t="s">
        <v>63</v>
      </c>
      <c r="N33" s="18" t="s">
        <v>68</v>
      </c>
      <c r="O33" s="28" t="s">
        <v>62</v>
      </c>
      <c r="P33" s="19" t="s">
        <v>69</v>
      </c>
      <c r="Q33" s="18" t="s">
        <v>68</v>
      </c>
      <c r="R33" s="13" t="s">
        <v>63</v>
      </c>
      <c r="S33" s="14" t="s">
        <v>64</v>
      </c>
      <c r="T33" s="28" t="s">
        <v>62</v>
      </c>
      <c r="U33" s="19" t="s">
        <v>69</v>
      </c>
      <c r="V33" s="15" t="s">
        <v>65</v>
      </c>
      <c r="W33" s="1" t="s">
        <v>10</v>
      </c>
      <c r="X33" s="19" t="s">
        <v>69</v>
      </c>
      <c r="Y33" s="18" t="s">
        <v>68</v>
      </c>
      <c r="Z33" s="28" t="s">
        <v>62</v>
      </c>
      <c r="AA33" s="13" t="s">
        <v>63</v>
      </c>
      <c r="AB33" s="14" t="s">
        <v>64</v>
      </c>
      <c r="AC33" s="17" t="s">
        <v>67</v>
      </c>
      <c r="AD33" s="16" t="s">
        <v>66</v>
      </c>
      <c r="AE33" s="18" t="s">
        <v>68</v>
      </c>
      <c r="AF33" s="17" t="s">
        <v>67</v>
      </c>
      <c r="AG33" s="19" t="s">
        <v>69</v>
      </c>
      <c r="AH33" s="15" t="s">
        <v>65</v>
      </c>
      <c r="AI33" s="14" t="s">
        <v>64</v>
      </c>
      <c r="AJ33" s="16" t="s">
        <v>66</v>
      </c>
      <c r="AK33" s="1" t="s">
        <v>21</v>
      </c>
      <c r="AL33" s="1" t="s">
        <v>81</v>
      </c>
      <c r="AM33" s="1" t="s">
        <v>53</v>
      </c>
    </row>
    <row r="34" ht="16.5" customHeight="1">
      <c r="A34" s="2" t="str">
        <f t="shared" si="2"/>
        <v>2072</v>
      </c>
      <c r="B34" s="1"/>
      <c r="C34" s="6" t="s">
        <v>53</v>
      </c>
      <c r="D34" s="20"/>
      <c r="E34" s="21"/>
      <c r="F34" s="22"/>
      <c r="G34" s="23"/>
      <c r="H34" s="24"/>
      <c r="I34" s="25"/>
      <c r="J34" s="24"/>
      <c r="K34" s="23"/>
      <c r="L34" s="25"/>
      <c r="M34" s="21"/>
      <c r="N34" s="26"/>
      <c r="O34" s="20"/>
      <c r="P34" s="27"/>
      <c r="Q34" s="26"/>
      <c r="R34" s="21"/>
      <c r="S34" s="22"/>
      <c r="T34" s="20"/>
      <c r="U34" s="27"/>
      <c r="V34" s="23"/>
      <c r="W34" s="1"/>
      <c r="X34" s="27"/>
      <c r="Y34" s="26"/>
      <c r="Z34" s="20"/>
      <c r="AA34" s="21"/>
      <c r="AB34" s="22"/>
      <c r="AC34" s="25"/>
      <c r="AD34" s="24"/>
      <c r="AE34" s="26"/>
      <c r="AF34" s="25"/>
      <c r="AG34" s="27"/>
      <c r="AH34" s="23"/>
      <c r="AI34" s="22"/>
      <c r="AJ34" s="24"/>
      <c r="AK34" s="1"/>
      <c r="AL34" s="1"/>
      <c r="AM34" s="1"/>
    </row>
    <row r="35" ht="16.5" customHeight="1">
      <c r="A35" s="2" t="str">
        <f t="shared" si="2"/>
        <v>2081</v>
      </c>
      <c r="B35" s="1" t="s">
        <v>82</v>
      </c>
      <c r="C35" s="9" t="s">
        <v>8</v>
      </c>
      <c r="D35" s="28" t="s">
        <v>62</v>
      </c>
      <c r="E35" s="13" t="s">
        <v>63</v>
      </c>
      <c r="F35" s="14" t="s">
        <v>64</v>
      </c>
      <c r="G35" s="15" t="s">
        <v>65</v>
      </c>
      <c r="H35" s="16" t="s">
        <v>66</v>
      </c>
      <c r="I35" s="17" t="s">
        <v>67</v>
      </c>
      <c r="J35" s="16" t="s">
        <v>66</v>
      </c>
      <c r="K35" s="15" t="s">
        <v>65</v>
      </c>
      <c r="L35" s="17" t="s">
        <v>67</v>
      </c>
      <c r="M35" s="13" t="s">
        <v>63</v>
      </c>
      <c r="N35" s="18" t="s">
        <v>68</v>
      </c>
      <c r="O35" s="28" t="s">
        <v>62</v>
      </c>
      <c r="P35" s="19" t="s">
        <v>69</v>
      </c>
      <c r="Q35" s="18" t="s">
        <v>68</v>
      </c>
      <c r="R35" s="13" t="s">
        <v>63</v>
      </c>
      <c r="S35" s="14" t="s">
        <v>64</v>
      </c>
      <c r="T35" s="28" t="s">
        <v>62</v>
      </c>
      <c r="U35" s="19" t="s">
        <v>69</v>
      </c>
      <c r="V35" s="15" t="s">
        <v>65</v>
      </c>
      <c r="W35" s="1" t="s">
        <v>10</v>
      </c>
      <c r="X35" s="19" t="s">
        <v>69</v>
      </c>
      <c r="Y35" s="18" t="s">
        <v>68</v>
      </c>
      <c r="Z35" s="28" t="s">
        <v>62</v>
      </c>
      <c r="AA35" s="13" t="s">
        <v>63</v>
      </c>
      <c r="AB35" s="14" t="s">
        <v>64</v>
      </c>
      <c r="AC35" s="17" t="s">
        <v>67</v>
      </c>
      <c r="AD35" s="16" t="s">
        <v>66</v>
      </c>
      <c r="AE35" s="18" t="s">
        <v>68</v>
      </c>
      <c r="AF35" s="17" t="s">
        <v>67</v>
      </c>
      <c r="AG35" s="19" t="s">
        <v>69</v>
      </c>
      <c r="AH35" s="15" t="s">
        <v>65</v>
      </c>
      <c r="AI35" s="14" t="s">
        <v>64</v>
      </c>
      <c r="AJ35" s="16" t="s">
        <v>66</v>
      </c>
      <c r="AK35" s="1" t="s">
        <v>21</v>
      </c>
      <c r="AL35" s="1" t="s">
        <v>82</v>
      </c>
      <c r="AM35" s="1" t="s">
        <v>55</v>
      </c>
    </row>
    <row r="36" ht="16.5" customHeight="1">
      <c r="A36" s="2" t="str">
        <f t="shared" si="2"/>
        <v>2082</v>
      </c>
      <c r="B36" s="1"/>
      <c r="C36" s="6" t="s">
        <v>55</v>
      </c>
      <c r="D36" s="20"/>
      <c r="E36" s="21"/>
      <c r="F36" s="22"/>
      <c r="G36" s="23"/>
      <c r="H36" s="24"/>
      <c r="I36" s="25"/>
      <c r="J36" s="24"/>
      <c r="K36" s="23"/>
      <c r="L36" s="25"/>
      <c r="M36" s="21"/>
      <c r="N36" s="26"/>
      <c r="O36" s="20"/>
      <c r="P36" s="27"/>
      <c r="Q36" s="26"/>
      <c r="R36" s="21"/>
      <c r="S36" s="22"/>
      <c r="T36" s="20"/>
      <c r="U36" s="27"/>
      <c r="V36" s="23"/>
      <c r="W36" s="1"/>
      <c r="X36" s="27"/>
      <c r="Y36" s="26"/>
      <c r="Z36" s="20"/>
      <c r="AA36" s="21"/>
      <c r="AB36" s="22"/>
      <c r="AC36" s="25"/>
      <c r="AD36" s="24"/>
      <c r="AE36" s="26"/>
      <c r="AF36" s="25"/>
      <c r="AG36" s="27"/>
      <c r="AH36" s="23"/>
      <c r="AI36" s="22"/>
      <c r="AJ36" s="24"/>
      <c r="AK36" s="1"/>
      <c r="AL36" s="1"/>
      <c r="AM36" s="1"/>
    </row>
    <row r="37" ht="16.5" customHeight="1">
      <c r="A37" s="2" t="str">
        <f t="shared" si="2"/>
        <v>2091</v>
      </c>
      <c r="B37" s="1" t="s">
        <v>83</v>
      </c>
      <c r="C37" s="9" t="s">
        <v>8</v>
      </c>
      <c r="D37" s="28" t="s">
        <v>62</v>
      </c>
      <c r="E37" s="13" t="s">
        <v>63</v>
      </c>
      <c r="F37" s="14" t="s">
        <v>64</v>
      </c>
      <c r="G37" s="15" t="s">
        <v>65</v>
      </c>
      <c r="H37" s="16" t="s">
        <v>66</v>
      </c>
      <c r="I37" s="17" t="s">
        <v>67</v>
      </c>
      <c r="J37" s="16" t="s">
        <v>66</v>
      </c>
      <c r="K37" s="15" t="s">
        <v>65</v>
      </c>
      <c r="L37" s="17" t="s">
        <v>67</v>
      </c>
      <c r="M37" s="13" t="s">
        <v>63</v>
      </c>
      <c r="N37" s="18" t="s">
        <v>68</v>
      </c>
      <c r="O37" s="28" t="s">
        <v>62</v>
      </c>
      <c r="P37" s="19" t="s">
        <v>69</v>
      </c>
      <c r="Q37" s="18" t="s">
        <v>68</v>
      </c>
      <c r="R37" s="13" t="s">
        <v>63</v>
      </c>
      <c r="S37" s="14" t="s">
        <v>64</v>
      </c>
      <c r="T37" s="28" t="s">
        <v>62</v>
      </c>
      <c r="U37" s="19" t="s">
        <v>69</v>
      </c>
      <c r="V37" s="15" t="s">
        <v>65</v>
      </c>
      <c r="W37" s="1" t="s">
        <v>10</v>
      </c>
      <c r="X37" s="19" t="s">
        <v>69</v>
      </c>
      <c r="Y37" s="18" t="s">
        <v>68</v>
      </c>
      <c r="Z37" s="28" t="s">
        <v>62</v>
      </c>
      <c r="AA37" s="13" t="s">
        <v>63</v>
      </c>
      <c r="AB37" s="14" t="s">
        <v>64</v>
      </c>
      <c r="AC37" s="17" t="s">
        <v>67</v>
      </c>
      <c r="AD37" s="16" t="s">
        <v>66</v>
      </c>
      <c r="AE37" s="18" t="s">
        <v>68</v>
      </c>
      <c r="AF37" s="17" t="s">
        <v>67</v>
      </c>
      <c r="AG37" s="19" t="s">
        <v>69</v>
      </c>
      <c r="AH37" s="15" t="s">
        <v>65</v>
      </c>
      <c r="AI37" s="14" t="s">
        <v>64</v>
      </c>
      <c r="AJ37" s="16" t="s">
        <v>66</v>
      </c>
      <c r="AK37" s="1" t="s">
        <v>21</v>
      </c>
      <c r="AL37" s="1" t="s">
        <v>83</v>
      </c>
      <c r="AM37" s="1" t="s">
        <v>84</v>
      </c>
    </row>
    <row r="38" ht="16.5" customHeight="1">
      <c r="A38" s="2" t="str">
        <f t="shared" si="2"/>
        <v>2092</v>
      </c>
      <c r="B38" s="1"/>
      <c r="C38" s="6" t="s">
        <v>84</v>
      </c>
      <c r="D38" s="20"/>
      <c r="E38" s="21"/>
      <c r="F38" s="22"/>
      <c r="G38" s="23"/>
      <c r="H38" s="24"/>
      <c r="I38" s="25"/>
      <c r="J38" s="24"/>
      <c r="K38" s="23"/>
      <c r="L38" s="25"/>
      <c r="M38" s="21"/>
      <c r="N38" s="26"/>
      <c r="O38" s="20"/>
      <c r="P38" s="27"/>
      <c r="Q38" s="26"/>
      <c r="R38" s="21"/>
      <c r="S38" s="22"/>
      <c r="T38" s="20"/>
      <c r="U38" s="27"/>
      <c r="V38" s="23"/>
      <c r="W38" s="1"/>
      <c r="X38" s="27"/>
      <c r="Y38" s="26"/>
      <c r="Z38" s="20"/>
      <c r="AA38" s="21"/>
      <c r="AB38" s="22"/>
      <c r="AC38" s="25"/>
      <c r="AD38" s="24"/>
      <c r="AE38" s="26"/>
      <c r="AF38" s="25"/>
      <c r="AG38" s="27"/>
      <c r="AH38" s="23"/>
      <c r="AI38" s="22"/>
      <c r="AJ38" s="24"/>
      <c r="AK38" s="1"/>
      <c r="AL38" s="1"/>
      <c r="AM38" s="1"/>
    </row>
    <row r="39" ht="16.5" customHeight="1">
      <c r="A39" s="2">
        <v>3011.0</v>
      </c>
      <c r="B39" s="1" t="s">
        <v>85</v>
      </c>
      <c r="C39" s="3" t="s">
        <v>8</v>
      </c>
      <c r="D39" s="29" t="s">
        <v>67</v>
      </c>
      <c r="E39" s="30" t="s">
        <v>62</v>
      </c>
      <c r="F39" s="31" t="s">
        <v>65</v>
      </c>
      <c r="G39" s="32" t="s">
        <v>64</v>
      </c>
      <c r="H39" s="33" t="s">
        <v>66</v>
      </c>
      <c r="I39" s="5" t="s">
        <v>18</v>
      </c>
      <c r="J39" s="30" t="s">
        <v>62</v>
      </c>
      <c r="K39" s="34" t="s">
        <v>68</v>
      </c>
      <c r="L39" s="31" t="s">
        <v>65</v>
      </c>
      <c r="M39" s="35" t="s">
        <v>63</v>
      </c>
      <c r="N39" s="33" t="s">
        <v>66</v>
      </c>
      <c r="O39" s="29" t="s">
        <v>67</v>
      </c>
      <c r="P39" s="5" t="s">
        <v>86</v>
      </c>
      <c r="Q39" s="30" t="s">
        <v>62</v>
      </c>
      <c r="R39" s="35" t="s">
        <v>63</v>
      </c>
      <c r="S39" s="31" t="s">
        <v>65</v>
      </c>
      <c r="T39" s="32" t="s">
        <v>64</v>
      </c>
      <c r="U39" s="34" t="s">
        <v>68</v>
      </c>
      <c r="V39" s="5" t="s">
        <v>87</v>
      </c>
      <c r="W39" s="1" t="s">
        <v>10</v>
      </c>
      <c r="X39" s="31" t="s">
        <v>65</v>
      </c>
      <c r="Y39" s="35" t="s">
        <v>63</v>
      </c>
      <c r="Z39" s="29" t="s">
        <v>67</v>
      </c>
      <c r="AA39" s="34" t="s">
        <v>68</v>
      </c>
      <c r="AB39" s="32" t="s">
        <v>64</v>
      </c>
      <c r="AC39" s="33" t="s">
        <v>66</v>
      </c>
      <c r="AD39" s="30" t="s">
        <v>62</v>
      </c>
      <c r="AE39" s="3" t="s">
        <v>10</v>
      </c>
      <c r="AF39" s="34" t="s">
        <v>68</v>
      </c>
      <c r="AG39" s="29" t="s">
        <v>67</v>
      </c>
      <c r="AH39" s="32" t="s">
        <v>64</v>
      </c>
      <c r="AI39" s="33" t="s">
        <v>66</v>
      </c>
      <c r="AJ39" s="35" t="s">
        <v>63</v>
      </c>
      <c r="AK39" s="1" t="s">
        <v>21</v>
      </c>
      <c r="AL39" s="1" t="s">
        <v>85</v>
      </c>
      <c r="AM39" s="1" t="s">
        <v>39</v>
      </c>
    </row>
    <row r="40" ht="16.5" customHeight="1">
      <c r="A40" s="2">
        <v>3012.0</v>
      </c>
      <c r="B40" s="1"/>
      <c r="C40" s="6" t="s">
        <v>39</v>
      </c>
      <c r="D40" s="36"/>
      <c r="E40" s="37"/>
      <c r="F40" s="38"/>
      <c r="G40" s="39"/>
      <c r="H40" s="40"/>
      <c r="I40" s="8" t="s">
        <v>39</v>
      </c>
      <c r="J40" s="37"/>
      <c r="K40" s="41"/>
      <c r="L40" s="38"/>
      <c r="M40" s="42"/>
      <c r="N40" s="40"/>
      <c r="O40" s="36"/>
      <c r="P40" s="8" t="s">
        <v>70</v>
      </c>
      <c r="Q40" s="37"/>
      <c r="R40" s="42"/>
      <c r="S40" s="38"/>
      <c r="T40" s="39"/>
      <c r="U40" s="41"/>
      <c r="V40" s="8" t="s">
        <v>44</v>
      </c>
      <c r="W40" s="1"/>
      <c r="X40" s="38"/>
      <c r="Y40" s="42"/>
      <c r="Z40" s="36"/>
      <c r="AA40" s="41"/>
      <c r="AB40" s="39"/>
      <c r="AC40" s="40"/>
      <c r="AD40" s="37"/>
      <c r="AE40" s="6" t="s">
        <v>31</v>
      </c>
      <c r="AF40" s="41"/>
      <c r="AG40" s="36"/>
      <c r="AH40" s="39"/>
      <c r="AI40" s="40"/>
      <c r="AJ40" s="42"/>
      <c r="AK40" s="1"/>
      <c r="AL40" s="1"/>
      <c r="AM40" s="1"/>
    </row>
    <row r="41" ht="16.5" customHeight="1">
      <c r="A41" s="2" t="str">
        <f t="shared" ref="A41:A56" si="3">A39+10</f>
        <v>3021</v>
      </c>
      <c r="B41" s="1" t="s">
        <v>88</v>
      </c>
      <c r="C41" s="9" t="s">
        <v>8</v>
      </c>
      <c r="D41" s="29" t="s">
        <v>67</v>
      </c>
      <c r="E41" s="30" t="s">
        <v>62</v>
      </c>
      <c r="F41" s="31" t="s">
        <v>65</v>
      </c>
      <c r="G41" s="32" t="s">
        <v>64</v>
      </c>
      <c r="H41" s="33" t="s">
        <v>66</v>
      </c>
      <c r="I41" s="11" t="s">
        <v>87</v>
      </c>
      <c r="J41" s="30" t="s">
        <v>62</v>
      </c>
      <c r="K41" s="34" t="s">
        <v>68</v>
      </c>
      <c r="L41" s="31" t="s">
        <v>65</v>
      </c>
      <c r="M41" s="35" t="s">
        <v>63</v>
      </c>
      <c r="N41" s="33" t="s">
        <v>66</v>
      </c>
      <c r="O41" s="29" t="s">
        <v>67</v>
      </c>
      <c r="P41" s="11" t="s">
        <v>10</v>
      </c>
      <c r="Q41" s="30" t="s">
        <v>62</v>
      </c>
      <c r="R41" s="35" t="s">
        <v>63</v>
      </c>
      <c r="S41" s="31" t="s">
        <v>65</v>
      </c>
      <c r="T41" s="32" t="s">
        <v>64</v>
      </c>
      <c r="U41" s="34" t="s">
        <v>68</v>
      </c>
      <c r="V41" s="11" t="s">
        <v>18</v>
      </c>
      <c r="W41" s="1" t="s">
        <v>10</v>
      </c>
      <c r="X41" s="31" t="s">
        <v>65</v>
      </c>
      <c r="Y41" s="35" t="s">
        <v>63</v>
      </c>
      <c r="Z41" s="29" t="s">
        <v>67</v>
      </c>
      <c r="AA41" s="34" t="s">
        <v>68</v>
      </c>
      <c r="AB41" s="32" t="s">
        <v>64</v>
      </c>
      <c r="AC41" s="33" t="s">
        <v>66</v>
      </c>
      <c r="AD41" s="30" t="s">
        <v>62</v>
      </c>
      <c r="AE41" s="9" t="s">
        <v>86</v>
      </c>
      <c r="AF41" s="34" t="s">
        <v>68</v>
      </c>
      <c r="AG41" s="29" t="s">
        <v>67</v>
      </c>
      <c r="AH41" s="32" t="s">
        <v>64</v>
      </c>
      <c r="AI41" s="33" t="s">
        <v>66</v>
      </c>
      <c r="AJ41" s="35" t="s">
        <v>63</v>
      </c>
      <c r="AK41" s="1" t="s">
        <v>21</v>
      </c>
      <c r="AL41" s="1" t="s">
        <v>88</v>
      </c>
      <c r="AM41" s="1" t="s">
        <v>89</v>
      </c>
    </row>
    <row r="42" ht="16.5" customHeight="1">
      <c r="A42" s="2" t="str">
        <f t="shared" si="3"/>
        <v>3022</v>
      </c>
      <c r="B42" s="1"/>
      <c r="C42" s="6" t="s">
        <v>89</v>
      </c>
      <c r="D42" s="36"/>
      <c r="E42" s="37"/>
      <c r="F42" s="38"/>
      <c r="G42" s="39"/>
      <c r="H42" s="40"/>
      <c r="I42" s="8" t="s">
        <v>44</v>
      </c>
      <c r="J42" s="37"/>
      <c r="K42" s="41"/>
      <c r="L42" s="38"/>
      <c r="M42" s="42"/>
      <c r="N42" s="40"/>
      <c r="O42" s="36"/>
      <c r="P42" s="8" t="s">
        <v>41</v>
      </c>
      <c r="Q42" s="37"/>
      <c r="R42" s="42"/>
      <c r="S42" s="38"/>
      <c r="T42" s="39"/>
      <c r="U42" s="41"/>
      <c r="V42" s="8" t="s">
        <v>39</v>
      </c>
      <c r="W42" s="1"/>
      <c r="X42" s="38"/>
      <c r="Y42" s="42"/>
      <c r="Z42" s="36"/>
      <c r="AA42" s="41"/>
      <c r="AB42" s="39"/>
      <c r="AC42" s="40"/>
      <c r="AD42" s="37"/>
      <c r="AE42" s="6" t="s">
        <v>70</v>
      </c>
      <c r="AF42" s="41"/>
      <c r="AG42" s="36"/>
      <c r="AH42" s="39"/>
      <c r="AI42" s="40"/>
      <c r="AJ42" s="42"/>
      <c r="AK42" s="1"/>
      <c r="AL42" s="1"/>
      <c r="AM42" s="1"/>
    </row>
    <row r="43" ht="16.5" customHeight="1">
      <c r="A43" s="2" t="str">
        <f t="shared" si="3"/>
        <v>3031</v>
      </c>
      <c r="B43" s="1" t="s">
        <v>90</v>
      </c>
      <c r="C43" s="9" t="s">
        <v>8</v>
      </c>
      <c r="D43" s="29" t="s">
        <v>67</v>
      </c>
      <c r="E43" s="30" t="s">
        <v>62</v>
      </c>
      <c r="F43" s="31" t="s">
        <v>65</v>
      </c>
      <c r="G43" s="32" t="s">
        <v>64</v>
      </c>
      <c r="H43" s="33" t="s">
        <v>66</v>
      </c>
      <c r="I43" s="11" t="s">
        <v>10</v>
      </c>
      <c r="J43" s="30" t="s">
        <v>62</v>
      </c>
      <c r="K43" s="34" t="s">
        <v>68</v>
      </c>
      <c r="L43" s="31" t="s">
        <v>65</v>
      </c>
      <c r="M43" s="35" t="s">
        <v>63</v>
      </c>
      <c r="N43" s="33" t="s">
        <v>66</v>
      </c>
      <c r="O43" s="29" t="s">
        <v>67</v>
      </c>
      <c r="P43" s="11" t="s">
        <v>86</v>
      </c>
      <c r="Q43" s="30" t="s">
        <v>62</v>
      </c>
      <c r="R43" s="35" t="s">
        <v>63</v>
      </c>
      <c r="S43" s="31" t="s">
        <v>65</v>
      </c>
      <c r="T43" s="32" t="s">
        <v>64</v>
      </c>
      <c r="U43" s="34" t="s">
        <v>68</v>
      </c>
      <c r="V43" s="11" t="s">
        <v>18</v>
      </c>
      <c r="W43" s="1" t="s">
        <v>10</v>
      </c>
      <c r="X43" s="31" t="s">
        <v>65</v>
      </c>
      <c r="Y43" s="35" t="s">
        <v>63</v>
      </c>
      <c r="Z43" s="29" t="s">
        <v>67</v>
      </c>
      <c r="AA43" s="34" t="s">
        <v>68</v>
      </c>
      <c r="AB43" s="32" t="s">
        <v>64</v>
      </c>
      <c r="AC43" s="33" t="s">
        <v>66</v>
      </c>
      <c r="AD43" s="30" t="s">
        <v>62</v>
      </c>
      <c r="AE43" s="9" t="s">
        <v>87</v>
      </c>
      <c r="AF43" s="34" t="s">
        <v>68</v>
      </c>
      <c r="AG43" s="29" t="s">
        <v>67</v>
      </c>
      <c r="AH43" s="32" t="s">
        <v>64</v>
      </c>
      <c r="AI43" s="33" t="s">
        <v>66</v>
      </c>
      <c r="AJ43" s="35" t="s">
        <v>63</v>
      </c>
      <c r="AK43" s="1" t="s">
        <v>10</v>
      </c>
      <c r="AL43" s="1" t="s">
        <v>90</v>
      </c>
      <c r="AM43" s="1" t="s">
        <v>91</v>
      </c>
    </row>
    <row r="44" ht="16.5" customHeight="1">
      <c r="A44" s="2" t="str">
        <f t="shared" si="3"/>
        <v>3032</v>
      </c>
      <c r="B44" s="1"/>
      <c r="C44" s="6" t="s">
        <v>91</v>
      </c>
      <c r="D44" s="36"/>
      <c r="E44" s="37"/>
      <c r="F44" s="38"/>
      <c r="G44" s="39"/>
      <c r="H44" s="40"/>
      <c r="I44" s="8" t="s">
        <v>34</v>
      </c>
      <c r="J44" s="37"/>
      <c r="K44" s="41"/>
      <c r="L44" s="38"/>
      <c r="M44" s="42"/>
      <c r="N44" s="40"/>
      <c r="O44" s="36"/>
      <c r="P44" s="8" t="s">
        <v>91</v>
      </c>
      <c r="Q44" s="37"/>
      <c r="R44" s="42"/>
      <c r="S44" s="38"/>
      <c r="T44" s="39"/>
      <c r="U44" s="41"/>
      <c r="V44" s="8" t="s">
        <v>41</v>
      </c>
      <c r="W44" s="1"/>
      <c r="X44" s="38"/>
      <c r="Y44" s="42"/>
      <c r="Z44" s="36"/>
      <c r="AA44" s="41"/>
      <c r="AB44" s="39"/>
      <c r="AC44" s="40"/>
      <c r="AD44" s="37"/>
      <c r="AE44" s="6" t="s">
        <v>44</v>
      </c>
      <c r="AF44" s="41"/>
      <c r="AG44" s="36"/>
      <c r="AH44" s="39"/>
      <c r="AI44" s="40"/>
      <c r="AJ44" s="42"/>
      <c r="AK44" s="1"/>
      <c r="AL44" s="1"/>
      <c r="AM44" s="1"/>
    </row>
    <row r="45" ht="16.5" customHeight="1">
      <c r="A45" s="2" t="str">
        <f t="shared" si="3"/>
        <v>3041</v>
      </c>
      <c r="B45" s="1" t="s">
        <v>92</v>
      </c>
      <c r="C45" s="9" t="s">
        <v>8</v>
      </c>
      <c r="D45" s="10" t="s">
        <v>10</v>
      </c>
      <c r="E45" s="30" t="s">
        <v>62</v>
      </c>
      <c r="F45" s="31" t="s">
        <v>65</v>
      </c>
      <c r="G45" s="32" t="s">
        <v>64</v>
      </c>
      <c r="H45" s="10" t="s">
        <v>18</v>
      </c>
      <c r="I45" s="29" t="s">
        <v>67</v>
      </c>
      <c r="J45" s="30" t="s">
        <v>62</v>
      </c>
      <c r="K45" s="34" t="s">
        <v>68</v>
      </c>
      <c r="L45" s="31" t="s">
        <v>65</v>
      </c>
      <c r="M45" s="35" t="s">
        <v>63</v>
      </c>
      <c r="N45" s="29" t="s">
        <v>67</v>
      </c>
      <c r="O45" s="33" t="s">
        <v>66</v>
      </c>
      <c r="P45" s="11" t="s">
        <v>87</v>
      </c>
      <c r="Q45" s="30" t="s">
        <v>62</v>
      </c>
      <c r="R45" s="35" t="s">
        <v>63</v>
      </c>
      <c r="S45" s="31" t="s">
        <v>65</v>
      </c>
      <c r="T45" s="32" t="s">
        <v>64</v>
      </c>
      <c r="U45" s="34" t="s">
        <v>68</v>
      </c>
      <c r="V45" s="33" t="s">
        <v>66</v>
      </c>
      <c r="W45" s="1"/>
      <c r="X45" s="9" t="s">
        <v>86</v>
      </c>
      <c r="Y45" s="35" t="s">
        <v>63</v>
      </c>
      <c r="Z45" s="33" t="s">
        <v>66</v>
      </c>
      <c r="AA45" s="34" t="s">
        <v>68</v>
      </c>
      <c r="AB45" s="32" t="s">
        <v>64</v>
      </c>
      <c r="AC45" s="29" t="s">
        <v>67</v>
      </c>
      <c r="AD45" s="30" t="s">
        <v>62</v>
      </c>
      <c r="AE45" s="33" t="s">
        <v>66</v>
      </c>
      <c r="AF45" s="34" t="s">
        <v>68</v>
      </c>
      <c r="AG45" s="29" t="s">
        <v>67</v>
      </c>
      <c r="AH45" s="32" t="s">
        <v>64</v>
      </c>
      <c r="AI45" s="31" t="s">
        <v>65</v>
      </c>
      <c r="AJ45" s="35" t="s">
        <v>63</v>
      </c>
      <c r="AK45" s="1" t="s">
        <v>21</v>
      </c>
      <c r="AL45" s="1" t="s">
        <v>92</v>
      </c>
      <c r="AM45" s="1" t="s">
        <v>93</v>
      </c>
    </row>
    <row r="46" ht="16.5" customHeight="1">
      <c r="A46" s="2" t="str">
        <f t="shared" si="3"/>
        <v>3042</v>
      </c>
      <c r="B46" s="1"/>
      <c r="C46" s="6" t="s">
        <v>93</v>
      </c>
      <c r="D46" s="7" t="s">
        <v>31</v>
      </c>
      <c r="E46" s="37"/>
      <c r="F46" s="38"/>
      <c r="G46" s="39"/>
      <c r="H46" s="7" t="s">
        <v>41</v>
      </c>
      <c r="I46" s="36"/>
      <c r="J46" s="37"/>
      <c r="K46" s="41"/>
      <c r="L46" s="38"/>
      <c r="M46" s="42"/>
      <c r="N46" s="36"/>
      <c r="O46" s="40"/>
      <c r="P46" s="8" t="s">
        <v>44</v>
      </c>
      <c r="Q46" s="37"/>
      <c r="R46" s="42"/>
      <c r="S46" s="38"/>
      <c r="T46" s="39"/>
      <c r="U46" s="41"/>
      <c r="V46" s="40"/>
      <c r="W46" s="1"/>
      <c r="X46" s="6" t="s">
        <v>91</v>
      </c>
      <c r="Y46" s="42"/>
      <c r="Z46" s="40"/>
      <c r="AA46" s="41"/>
      <c r="AB46" s="39"/>
      <c r="AC46" s="36"/>
      <c r="AD46" s="37"/>
      <c r="AE46" s="40"/>
      <c r="AF46" s="41"/>
      <c r="AG46" s="36"/>
      <c r="AH46" s="39"/>
      <c r="AI46" s="38"/>
      <c r="AJ46" s="42"/>
      <c r="AK46" s="1"/>
      <c r="AL46" s="1"/>
      <c r="AM46" s="1"/>
    </row>
    <row r="47" ht="16.5" customHeight="1">
      <c r="A47" s="2" t="str">
        <f t="shared" si="3"/>
        <v>3051</v>
      </c>
      <c r="B47" s="1" t="s">
        <v>94</v>
      </c>
      <c r="C47" s="9" t="s">
        <v>8</v>
      </c>
      <c r="D47" s="10" t="s">
        <v>18</v>
      </c>
      <c r="E47" s="30" t="s">
        <v>62</v>
      </c>
      <c r="F47" s="31" t="s">
        <v>65</v>
      </c>
      <c r="G47" s="32" t="s">
        <v>64</v>
      </c>
      <c r="H47" s="10" t="s">
        <v>86</v>
      </c>
      <c r="I47" s="29" t="s">
        <v>67</v>
      </c>
      <c r="J47" s="30" t="s">
        <v>62</v>
      </c>
      <c r="K47" s="34" t="s">
        <v>68</v>
      </c>
      <c r="L47" s="31" t="s">
        <v>65</v>
      </c>
      <c r="M47" s="35" t="s">
        <v>63</v>
      </c>
      <c r="N47" s="29" t="s">
        <v>67</v>
      </c>
      <c r="O47" s="33" t="s">
        <v>66</v>
      </c>
      <c r="P47" s="11" t="s">
        <v>10</v>
      </c>
      <c r="Q47" s="30" t="s">
        <v>62</v>
      </c>
      <c r="R47" s="35" t="s">
        <v>63</v>
      </c>
      <c r="S47" s="31" t="s">
        <v>65</v>
      </c>
      <c r="T47" s="32" t="s">
        <v>64</v>
      </c>
      <c r="U47" s="34" t="s">
        <v>68</v>
      </c>
      <c r="V47" s="33" t="s">
        <v>66</v>
      </c>
      <c r="W47" s="1" t="s">
        <v>10</v>
      </c>
      <c r="X47" s="9" t="s">
        <v>87</v>
      </c>
      <c r="Y47" s="35" t="s">
        <v>63</v>
      </c>
      <c r="Z47" s="33" t="s">
        <v>66</v>
      </c>
      <c r="AA47" s="34" t="s">
        <v>68</v>
      </c>
      <c r="AB47" s="32" t="s">
        <v>64</v>
      </c>
      <c r="AC47" s="29" t="s">
        <v>67</v>
      </c>
      <c r="AD47" s="30" t="s">
        <v>62</v>
      </c>
      <c r="AE47" s="33" t="s">
        <v>66</v>
      </c>
      <c r="AF47" s="34" t="s">
        <v>68</v>
      </c>
      <c r="AG47" s="29" t="s">
        <v>67</v>
      </c>
      <c r="AH47" s="32" t="s">
        <v>64</v>
      </c>
      <c r="AI47" s="31" t="s">
        <v>65</v>
      </c>
      <c r="AJ47" s="35" t="s">
        <v>63</v>
      </c>
      <c r="AK47" s="1" t="s">
        <v>21</v>
      </c>
      <c r="AL47" s="1" t="s">
        <v>94</v>
      </c>
      <c r="AM47" s="1" t="s">
        <v>95</v>
      </c>
    </row>
    <row r="48" ht="16.5" customHeight="1">
      <c r="A48" s="2" t="str">
        <f t="shared" si="3"/>
        <v>3052</v>
      </c>
      <c r="B48" s="1"/>
      <c r="C48" s="6" t="s">
        <v>95</v>
      </c>
      <c r="D48" s="7" t="s">
        <v>48</v>
      </c>
      <c r="E48" s="37"/>
      <c r="F48" s="38"/>
      <c r="G48" s="39"/>
      <c r="H48" s="7" t="s">
        <v>89</v>
      </c>
      <c r="I48" s="36"/>
      <c r="J48" s="37"/>
      <c r="K48" s="41"/>
      <c r="L48" s="38"/>
      <c r="M48" s="42"/>
      <c r="N48" s="36"/>
      <c r="O48" s="40"/>
      <c r="P48" s="8" t="s">
        <v>35</v>
      </c>
      <c r="Q48" s="37"/>
      <c r="R48" s="42"/>
      <c r="S48" s="38"/>
      <c r="T48" s="39"/>
      <c r="U48" s="41"/>
      <c r="V48" s="40"/>
      <c r="W48" s="1"/>
      <c r="X48" s="6" t="s">
        <v>44</v>
      </c>
      <c r="Y48" s="42"/>
      <c r="Z48" s="40"/>
      <c r="AA48" s="41"/>
      <c r="AB48" s="39"/>
      <c r="AC48" s="36"/>
      <c r="AD48" s="37"/>
      <c r="AE48" s="40"/>
      <c r="AF48" s="41"/>
      <c r="AG48" s="36"/>
      <c r="AH48" s="39"/>
      <c r="AI48" s="38"/>
      <c r="AJ48" s="42"/>
      <c r="AK48" s="1"/>
      <c r="AL48" s="1"/>
      <c r="AM48" s="1"/>
    </row>
    <row r="49" ht="16.5" customHeight="1">
      <c r="A49" s="2" t="str">
        <f t="shared" si="3"/>
        <v>3061</v>
      </c>
      <c r="B49" s="1" t="s">
        <v>96</v>
      </c>
      <c r="C49" s="9" t="s">
        <v>8</v>
      </c>
      <c r="D49" s="10" t="s">
        <v>86</v>
      </c>
      <c r="E49" s="30" t="s">
        <v>62</v>
      </c>
      <c r="F49" s="31" t="s">
        <v>65</v>
      </c>
      <c r="G49" s="32" t="s">
        <v>64</v>
      </c>
      <c r="H49" s="10" t="s">
        <v>87</v>
      </c>
      <c r="I49" s="29" t="s">
        <v>67</v>
      </c>
      <c r="J49" s="30" t="s">
        <v>62</v>
      </c>
      <c r="K49" s="34" t="s">
        <v>68</v>
      </c>
      <c r="L49" s="31" t="s">
        <v>65</v>
      </c>
      <c r="M49" s="35" t="s">
        <v>63</v>
      </c>
      <c r="N49" s="29" t="s">
        <v>67</v>
      </c>
      <c r="O49" s="33" t="s">
        <v>66</v>
      </c>
      <c r="P49" s="11" t="s">
        <v>10</v>
      </c>
      <c r="Q49" s="30" t="s">
        <v>62</v>
      </c>
      <c r="R49" s="35" t="s">
        <v>63</v>
      </c>
      <c r="S49" s="31" t="s">
        <v>65</v>
      </c>
      <c r="T49" s="32" t="s">
        <v>64</v>
      </c>
      <c r="U49" s="34" t="s">
        <v>68</v>
      </c>
      <c r="V49" s="33" t="s">
        <v>66</v>
      </c>
      <c r="W49" s="1" t="s">
        <v>10</v>
      </c>
      <c r="X49" s="9" t="s">
        <v>18</v>
      </c>
      <c r="Y49" s="35" t="s">
        <v>63</v>
      </c>
      <c r="Z49" s="33" t="s">
        <v>66</v>
      </c>
      <c r="AA49" s="34" t="s">
        <v>68</v>
      </c>
      <c r="AB49" s="32" t="s">
        <v>64</v>
      </c>
      <c r="AC49" s="29" t="s">
        <v>67</v>
      </c>
      <c r="AD49" s="30" t="s">
        <v>62</v>
      </c>
      <c r="AE49" s="33" t="s">
        <v>66</v>
      </c>
      <c r="AF49" s="34" t="s">
        <v>68</v>
      </c>
      <c r="AG49" s="29" t="s">
        <v>67</v>
      </c>
      <c r="AH49" s="32" t="s">
        <v>64</v>
      </c>
      <c r="AI49" s="31" t="s">
        <v>65</v>
      </c>
      <c r="AJ49" s="35" t="s">
        <v>63</v>
      </c>
      <c r="AK49" s="1" t="s">
        <v>21</v>
      </c>
      <c r="AL49" s="1" t="s">
        <v>96</v>
      </c>
      <c r="AM49" s="1" t="s">
        <v>97</v>
      </c>
    </row>
    <row r="50" ht="16.5" customHeight="1">
      <c r="A50" s="2" t="str">
        <f t="shared" si="3"/>
        <v>3062</v>
      </c>
      <c r="B50" s="1"/>
      <c r="C50" s="6" t="s">
        <v>97</v>
      </c>
      <c r="D50" s="7" t="s">
        <v>70</v>
      </c>
      <c r="E50" s="37"/>
      <c r="F50" s="38"/>
      <c r="G50" s="39"/>
      <c r="H50" s="7" t="s">
        <v>44</v>
      </c>
      <c r="I50" s="36"/>
      <c r="J50" s="37"/>
      <c r="K50" s="41"/>
      <c r="L50" s="38"/>
      <c r="M50" s="42"/>
      <c r="N50" s="36"/>
      <c r="O50" s="40"/>
      <c r="P50" s="8" t="s">
        <v>23</v>
      </c>
      <c r="Q50" s="37"/>
      <c r="R50" s="42"/>
      <c r="S50" s="38"/>
      <c r="T50" s="39"/>
      <c r="U50" s="41"/>
      <c r="V50" s="40"/>
      <c r="W50" s="1"/>
      <c r="X50" s="6" t="s">
        <v>98</v>
      </c>
      <c r="Y50" s="42"/>
      <c r="Z50" s="40"/>
      <c r="AA50" s="41"/>
      <c r="AB50" s="39"/>
      <c r="AC50" s="36"/>
      <c r="AD50" s="37"/>
      <c r="AE50" s="40"/>
      <c r="AF50" s="41"/>
      <c r="AG50" s="36"/>
      <c r="AH50" s="39"/>
      <c r="AI50" s="38"/>
      <c r="AJ50" s="42"/>
      <c r="AK50" s="1"/>
      <c r="AL50" s="1"/>
      <c r="AM50" s="1"/>
    </row>
    <row r="51" ht="16.5" customHeight="1">
      <c r="A51" s="2" t="str">
        <f t="shared" si="3"/>
        <v>3071</v>
      </c>
      <c r="B51" s="1" t="s">
        <v>99</v>
      </c>
      <c r="C51" s="9" t="s">
        <v>8</v>
      </c>
      <c r="D51" s="10" t="s">
        <v>87</v>
      </c>
      <c r="E51" s="30" t="s">
        <v>62</v>
      </c>
      <c r="F51" s="31" t="s">
        <v>65</v>
      </c>
      <c r="G51" s="32" t="s">
        <v>64</v>
      </c>
      <c r="H51" s="10" t="s">
        <v>10</v>
      </c>
      <c r="I51" s="29" t="s">
        <v>67</v>
      </c>
      <c r="J51" s="30" t="s">
        <v>62</v>
      </c>
      <c r="K51" s="34" t="s">
        <v>68</v>
      </c>
      <c r="L51" s="31" t="s">
        <v>65</v>
      </c>
      <c r="M51" s="35" t="s">
        <v>63</v>
      </c>
      <c r="N51" s="29" t="s">
        <v>67</v>
      </c>
      <c r="O51" s="33" t="s">
        <v>66</v>
      </c>
      <c r="P51" s="11" t="s">
        <v>18</v>
      </c>
      <c r="Q51" s="30" t="s">
        <v>62</v>
      </c>
      <c r="R51" s="35" t="s">
        <v>63</v>
      </c>
      <c r="S51" s="31" t="s">
        <v>65</v>
      </c>
      <c r="T51" s="32" t="s">
        <v>64</v>
      </c>
      <c r="U51" s="34" t="s">
        <v>68</v>
      </c>
      <c r="V51" s="33" t="s">
        <v>66</v>
      </c>
      <c r="W51" s="1" t="s">
        <v>10</v>
      </c>
      <c r="X51" s="9" t="s">
        <v>86</v>
      </c>
      <c r="Y51" s="35" t="s">
        <v>63</v>
      </c>
      <c r="Z51" s="33" t="s">
        <v>66</v>
      </c>
      <c r="AA51" s="34" t="s">
        <v>68</v>
      </c>
      <c r="AB51" s="32" t="s">
        <v>64</v>
      </c>
      <c r="AC51" s="29" t="s">
        <v>67</v>
      </c>
      <c r="AD51" s="30" t="s">
        <v>62</v>
      </c>
      <c r="AE51" s="33" t="s">
        <v>66</v>
      </c>
      <c r="AF51" s="34" t="s">
        <v>68</v>
      </c>
      <c r="AG51" s="29" t="s">
        <v>67</v>
      </c>
      <c r="AH51" s="32" t="s">
        <v>64</v>
      </c>
      <c r="AI51" s="31" t="s">
        <v>65</v>
      </c>
      <c r="AJ51" s="35" t="s">
        <v>63</v>
      </c>
      <c r="AK51" s="1" t="s">
        <v>21</v>
      </c>
      <c r="AL51" s="1" t="s">
        <v>99</v>
      </c>
      <c r="AM51" s="1" t="s">
        <v>100</v>
      </c>
    </row>
    <row r="52" ht="16.5" customHeight="1">
      <c r="A52" s="2" t="str">
        <f t="shared" si="3"/>
        <v>3072</v>
      </c>
      <c r="B52" s="1"/>
      <c r="C52" s="6" t="s">
        <v>100</v>
      </c>
      <c r="D52" s="7" t="s">
        <v>43</v>
      </c>
      <c r="E52" s="37"/>
      <c r="F52" s="38"/>
      <c r="G52" s="39"/>
      <c r="H52" s="7" t="s">
        <v>37</v>
      </c>
      <c r="I52" s="36"/>
      <c r="J52" s="37"/>
      <c r="K52" s="41"/>
      <c r="L52" s="38"/>
      <c r="M52" s="42"/>
      <c r="N52" s="36"/>
      <c r="O52" s="40"/>
      <c r="P52" s="8" t="s">
        <v>98</v>
      </c>
      <c r="Q52" s="37"/>
      <c r="R52" s="42"/>
      <c r="S52" s="38"/>
      <c r="T52" s="39"/>
      <c r="U52" s="41"/>
      <c r="V52" s="40"/>
      <c r="W52" s="1"/>
      <c r="X52" s="6" t="s">
        <v>70</v>
      </c>
      <c r="Y52" s="42"/>
      <c r="Z52" s="40"/>
      <c r="AA52" s="41"/>
      <c r="AB52" s="39"/>
      <c r="AC52" s="36"/>
      <c r="AD52" s="37"/>
      <c r="AE52" s="40"/>
      <c r="AF52" s="41"/>
      <c r="AG52" s="36"/>
      <c r="AH52" s="39"/>
      <c r="AI52" s="38"/>
      <c r="AJ52" s="42"/>
      <c r="AK52" s="1"/>
      <c r="AL52" s="1"/>
      <c r="AM52" s="1"/>
    </row>
    <row r="53" ht="16.5" customHeight="1">
      <c r="A53" s="2" t="str">
        <f t="shared" si="3"/>
        <v>3081</v>
      </c>
      <c r="B53" s="1" t="s">
        <v>101</v>
      </c>
      <c r="C53" s="9" t="s">
        <v>8</v>
      </c>
      <c r="D53" s="10" t="s">
        <v>18</v>
      </c>
      <c r="E53" s="30" t="s">
        <v>62</v>
      </c>
      <c r="F53" s="31" t="s">
        <v>65</v>
      </c>
      <c r="G53" s="32" t="s">
        <v>64</v>
      </c>
      <c r="H53" s="10" t="s">
        <v>86</v>
      </c>
      <c r="I53" s="29" t="s">
        <v>67</v>
      </c>
      <c r="J53" s="30" t="s">
        <v>62</v>
      </c>
      <c r="K53" s="34" t="s">
        <v>68</v>
      </c>
      <c r="L53" s="31" t="s">
        <v>65</v>
      </c>
      <c r="M53" s="35" t="s">
        <v>63</v>
      </c>
      <c r="N53" s="29" t="s">
        <v>67</v>
      </c>
      <c r="O53" s="33" t="s">
        <v>66</v>
      </c>
      <c r="P53" s="11" t="s">
        <v>10</v>
      </c>
      <c r="Q53" s="30" t="s">
        <v>62</v>
      </c>
      <c r="R53" s="35" t="s">
        <v>63</v>
      </c>
      <c r="S53" s="31" t="s">
        <v>65</v>
      </c>
      <c r="T53" s="32" t="s">
        <v>64</v>
      </c>
      <c r="U53" s="34" t="s">
        <v>68</v>
      </c>
      <c r="V53" s="33" t="s">
        <v>66</v>
      </c>
      <c r="W53" s="1" t="s">
        <v>10</v>
      </c>
      <c r="X53" s="9" t="s">
        <v>87</v>
      </c>
      <c r="Y53" s="35" t="s">
        <v>63</v>
      </c>
      <c r="Z53" s="33" t="s">
        <v>66</v>
      </c>
      <c r="AA53" s="34" t="s">
        <v>68</v>
      </c>
      <c r="AB53" s="32" t="s">
        <v>64</v>
      </c>
      <c r="AC53" s="29" t="s">
        <v>67</v>
      </c>
      <c r="AD53" s="30" t="s">
        <v>62</v>
      </c>
      <c r="AE53" s="33" t="s">
        <v>66</v>
      </c>
      <c r="AF53" s="34" t="s">
        <v>68</v>
      </c>
      <c r="AG53" s="29" t="s">
        <v>67</v>
      </c>
      <c r="AH53" s="32" t="s">
        <v>64</v>
      </c>
      <c r="AI53" s="31" t="s">
        <v>65</v>
      </c>
      <c r="AJ53" s="35" t="s">
        <v>63</v>
      </c>
      <c r="AK53" s="1" t="s">
        <v>21</v>
      </c>
      <c r="AL53" s="1" t="s">
        <v>101</v>
      </c>
      <c r="AM53" s="1" t="s">
        <v>102</v>
      </c>
    </row>
    <row r="54" ht="16.5" customHeight="1">
      <c r="A54" s="2" t="str">
        <f t="shared" si="3"/>
        <v>3082</v>
      </c>
      <c r="B54" s="1"/>
      <c r="C54" s="6" t="s">
        <v>102</v>
      </c>
      <c r="D54" s="7" t="s">
        <v>98</v>
      </c>
      <c r="E54" s="37"/>
      <c r="F54" s="38"/>
      <c r="G54" s="39"/>
      <c r="H54" s="7" t="s">
        <v>91</v>
      </c>
      <c r="I54" s="36"/>
      <c r="J54" s="37"/>
      <c r="K54" s="41"/>
      <c r="L54" s="38"/>
      <c r="M54" s="42"/>
      <c r="N54" s="36"/>
      <c r="O54" s="40"/>
      <c r="P54" s="8" t="s">
        <v>43</v>
      </c>
      <c r="Q54" s="37"/>
      <c r="R54" s="42"/>
      <c r="S54" s="38"/>
      <c r="T54" s="39"/>
      <c r="U54" s="41"/>
      <c r="V54" s="40"/>
      <c r="W54" s="1"/>
      <c r="X54" s="6" t="s">
        <v>43</v>
      </c>
      <c r="Y54" s="42"/>
      <c r="Z54" s="40"/>
      <c r="AA54" s="41"/>
      <c r="AB54" s="39"/>
      <c r="AC54" s="36"/>
      <c r="AD54" s="37"/>
      <c r="AE54" s="40"/>
      <c r="AF54" s="41"/>
      <c r="AG54" s="36"/>
      <c r="AH54" s="39"/>
      <c r="AI54" s="38"/>
      <c r="AJ54" s="42"/>
      <c r="AK54" s="1"/>
      <c r="AL54" s="1"/>
      <c r="AM54" s="1"/>
    </row>
    <row r="55" ht="16.5" customHeight="1">
      <c r="A55" s="2" t="str">
        <f t="shared" si="3"/>
        <v>3091</v>
      </c>
      <c r="B55" s="1" t="s">
        <v>103</v>
      </c>
      <c r="C55" s="9" t="s">
        <v>8</v>
      </c>
      <c r="D55" s="10" t="s">
        <v>86</v>
      </c>
      <c r="E55" s="30" t="s">
        <v>62</v>
      </c>
      <c r="F55" s="31" t="s">
        <v>65</v>
      </c>
      <c r="G55" s="32" t="s">
        <v>64</v>
      </c>
      <c r="H55" s="10" t="s">
        <v>87</v>
      </c>
      <c r="I55" s="29" t="s">
        <v>67</v>
      </c>
      <c r="J55" s="30" t="s">
        <v>62</v>
      </c>
      <c r="K55" s="34" t="s">
        <v>68</v>
      </c>
      <c r="L55" s="31" t="s">
        <v>65</v>
      </c>
      <c r="M55" s="35" t="s">
        <v>63</v>
      </c>
      <c r="N55" s="29" t="s">
        <v>67</v>
      </c>
      <c r="O55" s="33" t="s">
        <v>66</v>
      </c>
      <c r="P55" s="11" t="s">
        <v>10</v>
      </c>
      <c r="Q55" s="30" t="s">
        <v>62</v>
      </c>
      <c r="R55" s="35" t="s">
        <v>63</v>
      </c>
      <c r="S55" s="31" t="s">
        <v>65</v>
      </c>
      <c r="T55" s="32" t="s">
        <v>64</v>
      </c>
      <c r="U55" s="34" t="s">
        <v>68</v>
      </c>
      <c r="V55" s="33" t="s">
        <v>66</v>
      </c>
      <c r="W55" s="1" t="s">
        <v>10</v>
      </c>
      <c r="X55" s="9" t="s">
        <v>18</v>
      </c>
      <c r="Y55" s="35" t="s">
        <v>63</v>
      </c>
      <c r="Z55" s="33" t="s">
        <v>66</v>
      </c>
      <c r="AA55" s="34" t="s">
        <v>68</v>
      </c>
      <c r="AB55" s="32" t="s">
        <v>64</v>
      </c>
      <c r="AC55" s="29" t="s">
        <v>67</v>
      </c>
      <c r="AD55" s="30" t="s">
        <v>62</v>
      </c>
      <c r="AE55" s="33" t="s">
        <v>66</v>
      </c>
      <c r="AF55" s="34" t="s">
        <v>68</v>
      </c>
      <c r="AG55" s="29" t="s">
        <v>67</v>
      </c>
      <c r="AH55" s="32" t="s">
        <v>64</v>
      </c>
      <c r="AI55" s="31" t="s">
        <v>65</v>
      </c>
      <c r="AJ55" s="35" t="s">
        <v>63</v>
      </c>
      <c r="AK55" s="1" t="s">
        <v>21</v>
      </c>
      <c r="AL55" s="1" t="s">
        <v>103</v>
      </c>
      <c r="AM55" s="1" t="s">
        <v>104</v>
      </c>
    </row>
    <row r="56" ht="16.5" customHeight="1">
      <c r="A56" s="2" t="str">
        <f t="shared" si="3"/>
        <v>3092</v>
      </c>
      <c r="B56" s="1"/>
      <c r="C56" s="6" t="s">
        <v>104</v>
      </c>
      <c r="D56" s="7" t="s">
        <v>91</v>
      </c>
      <c r="E56" s="37"/>
      <c r="F56" s="38"/>
      <c r="G56" s="39"/>
      <c r="H56" s="7" t="s">
        <v>43</v>
      </c>
      <c r="I56" s="36"/>
      <c r="J56" s="37"/>
      <c r="K56" s="41"/>
      <c r="L56" s="38"/>
      <c r="M56" s="42"/>
      <c r="N56" s="36"/>
      <c r="O56" s="40"/>
      <c r="P56" s="8" t="s">
        <v>34</v>
      </c>
      <c r="Q56" s="37"/>
      <c r="R56" s="42"/>
      <c r="S56" s="38"/>
      <c r="T56" s="39"/>
      <c r="U56" s="41"/>
      <c r="V56" s="40"/>
      <c r="W56" s="1"/>
      <c r="X56" s="6" t="s">
        <v>48</v>
      </c>
      <c r="Y56" s="42"/>
      <c r="Z56" s="40"/>
      <c r="AA56" s="41"/>
      <c r="AB56" s="39"/>
      <c r="AC56" s="36"/>
      <c r="AD56" s="37"/>
      <c r="AE56" s="40"/>
      <c r="AF56" s="41"/>
      <c r="AG56" s="36"/>
      <c r="AH56" s="39"/>
      <c r="AI56" s="38"/>
      <c r="AJ56" s="42"/>
      <c r="AK56" s="1"/>
      <c r="AL56" s="1"/>
      <c r="AM56" s="1"/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4.71"/>
    <col customWidth="1" min="7" max="8" width="8.71"/>
    <col customWidth="1" min="9" max="9" width="20.14"/>
    <col customWidth="1" min="10" max="11" width="8.71"/>
    <col customWidth="1" hidden="1" min="12" max="22" width="8.71"/>
  </cols>
  <sheetData>
    <row r="1" ht="26.25" customHeight="1">
      <c r="A1" s="43" t="s">
        <v>105</v>
      </c>
      <c r="G1" s="44"/>
      <c r="H1" s="45" t="s">
        <v>0</v>
      </c>
      <c r="I1" s="46" t="s">
        <v>106</v>
      </c>
      <c r="J1" s="44"/>
      <c r="K1" s="44"/>
      <c r="L1" s="44" t="str">
        <f>IFERROR(VLOOKUP(I1,$O$4:$P$45,2,),"")</f>
        <v>205</v>
      </c>
      <c r="M1" s="44"/>
      <c r="N1" s="44"/>
      <c r="O1" s="44"/>
      <c r="P1" s="44"/>
      <c r="Q1" s="44"/>
      <c r="R1" s="44"/>
      <c r="S1" s="44"/>
      <c r="T1" s="44"/>
      <c r="U1" s="44"/>
      <c r="V1" s="44"/>
    </row>
    <row r="2" ht="9.0" customHeight="1">
      <c r="A2" s="44"/>
      <c r="B2" s="44"/>
      <c r="C2" s="44"/>
      <c r="D2" s="44"/>
      <c r="E2" s="44"/>
      <c r="F2" s="44"/>
      <c r="G2" s="44"/>
      <c r="H2" s="44"/>
      <c r="I2" s="47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ht="26.25" customHeight="1">
      <c r="A3" s="48" t="s">
        <v>107</v>
      </c>
      <c r="C3" s="49" t="s">
        <v>108</v>
      </c>
      <c r="D3" s="50"/>
      <c r="E3" s="51" t="str">
        <f>I1</f>
        <v>2학년 5반</v>
      </c>
      <c r="F3" s="52" t="str">
        <f>"담임 :  "&amp;IFERROR(VLOOKUP($L$3,'학반 시간표'!$A$3:$AM$56,V22,),"")</f>
        <v>담임 :  김진영</v>
      </c>
      <c r="G3" s="44"/>
      <c r="H3" s="44"/>
      <c r="I3" s="47"/>
      <c r="J3" s="44"/>
      <c r="K3" s="44"/>
      <c r="L3" s="44" t="str">
        <f>IFERROR(L1*10+1,"")</f>
        <v>2051</v>
      </c>
      <c r="M3" s="44" t="str">
        <f>IFERROR(L1*10+2,"")</f>
        <v>2052</v>
      </c>
      <c r="N3" s="44"/>
      <c r="O3" s="44"/>
      <c r="P3" s="44"/>
      <c r="Q3" s="44"/>
      <c r="R3" s="44"/>
      <c r="S3" s="44"/>
      <c r="T3" s="44"/>
      <c r="U3" s="44"/>
      <c r="V3" s="44"/>
    </row>
    <row r="4" ht="9.0" customHeight="1">
      <c r="A4" s="44"/>
      <c r="B4" s="44"/>
      <c r="C4" s="44"/>
      <c r="D4" s="44"/>
      <c r="E4" s="44"/>
      <c r="F4" s="44"/>
      <c r="G4" s="44"/>
      <c r="H4" s="44"/>
      <c r="I4" s="47"/>
      <c r="J4" s="44"/>
      <c r="K4" s="44"/>
      <c r="L4" s="44"/>
      <c r="M4" s="44"/>
      <c r="N4" s="44"/>
      <c r="O4" s="44" t="s">
        <v>109</v>
      </c>
      <c r="P4" s="44" t="s">
        <v>109</v>
      </c>
      <c r="Q4" s="44"/>
      <c r="R4" s="44"/>
      <c r="S4" s="44"/>
      <c r="T4" s="44"/>
      <c r="U4" s="44"/>
      <c r="V4" s="44"/>
    </row>
    <row r="5" ht="26.25" customHeight="1">
      <c r="A5" s="53"/>
      <c r="B5" s="54" t="s">
        <v>1</v>
      </c>
      <c r="C5" s="55" t="s">
        <v>2</v>
      </c>
      <c r="D5" s="55" t="s">
        <v>3</v>
      </c>
      <c r="E5" s="55" t="s">
        <v>4</v>
      </c>
      <c r="F5" s="56" t="s">
        <v>5</v>
      </c>
      <c r="G5" s="44"/>
      <c r="H5" s="44"/>
      <c r="I5" s="47"/>
      <c r="J5" s="44"/>
      <c r="K5" s="44"/>
      <c r="L5" s="44"/>
      <c r="M5" s="44"/>
      <c r="N5" s="44">
        <v>1.0</v>
      </c>
      <c r="O5" s="44" t="s">
        <v>110</v>
      </c>
      <c r="P5" s="44">
        <v>101.0</v>
      </c>
      <c r="Q5" s="44"/>
      <c r="R5" s="44"/>
      <c r="S5" s="44"/>
      <c r="T5" s="44"/>
      <c r="U5" s="44"/>
      <c r="V5" s="44"/>
    </row>
    <row r="6" ht="36.0" customHeight="1">
      <c r="A6" s="57">
        <v>1.0</v>
      </c>
      <c r="B6" s="58" t="str">
        <f>IFERROR(VLOOKUP($L$3,'학반 시간표'!$A$3:$AM$56,R6,),"")</f>
        <v>자율활동</v>
      </c>
      <c r="C6" s="59" t="str">
        <f>IFERROR(VLOOKUP($L$3,'학반 시간표'!$A$3:$AM$56,S6,),"")</f>
        <v>선택 E</v>
      </c>
      <c r="D6" s="59" t="str">
        <f>IFERROR(VLOOKUP($L$3,'학반 시간표'!$A$3:$AM$56,T6,),"")</f>
        <v>선택 B</v>
      </c>
      <c r="E6" s="59" t="str">
        <f>IFERROR(VLOOKUP($L$3,'학반 시간표'!$A$3:$AM$56,U6,),"")</f>
        <v>선택 H</v>
      </c>
      <c r="F6" s="60" t="str">
        <f>IFERROR(VLOOKUP($L$3,'학반 시간표'!$A$3:$AM$56,V6,),"")</f>
        <v>선택 B</v>
      </c>
      <c r="G6" s="44"/>
      <c r="H6" s="44"/>
      <c r="I6" s="47"/>
      <c r="J6" s="44"/>
      <c r="K6" s="44"/>
      <c r="L6" s="44"/>
      <c r="M6" s="44"/>
      <c r="N6" s="44">
        <v>2.0</v>
      </c>
      <c r="O6" s="44" t="s">
        <v>111</v>
      </c>
      <c r="P6" s="44" t="str">
        <f t="shared" ref="P6:P13" si="2">P5+1</f>
        <v>102</v>
      </c>
      <c r="Q6" s="44"/>
      <c r="R6" s="44">
        <v>3.0</v>
      </c>
      <c r="S6" s="44" t="str">
        <f t="shared" ref="S6:V6" si="1">R18+1</f>
        <v>10</v>
      </c>
      <c r="T6" s="44" t="str">
        <f t="shared" si="1"/>
        <v>17</v>
      </c>
      <c r="U6" s="44" t="str">
        <f t="shared" si="1"/>
        <v>24</v>
      </c>
      <c r="V6" s="44" t="str">
        <f t="shared" si="1"/>
        <v>31</v>
      </c>
    </row>
    <row r="7" ht="26.25" customHeight="1">
      <c r="A7" s="61"/>
      <c r="B7" s="62" t="str">
        <f>IFERROR(VLOOKUP($M$3,'학반 시간표'!$A$3:$AM$56,R7,),"")</f>
        <v>김진영</v>
      </c>
      <c r="C7" s="63" t="str">
        <f>IFERROR(VLOOKUP($M$3,'학반 시간표'!$A$3:$AM$56,S7,),"")</f>
        <v/>
      </c>
      <c r="D7" s="63" t="str">
        <f>IFERROR(VLOOKUP($M$3,'학반 시간표'!$A$3:$AM$56,T7,),"")</f>
        <v/>
      </c>
      <c r="E7" s="63" t="str">
        <f>IFERROR(VLOOKUP($M$3,'학반 시간표'!$A$3:$AM$56,U7,),"")</f>
        <v/>
      </c>
      <c r="F7" s="64" t="str">
        <f>IFERROR(VLOOKUP($M$3,'학반 시간표'!$A$3:$AM$56,V7,),"")</f>
        <v/>
      </c>
      <c r="G7" s="44"/>
      <c r="H7" s="44"/>
      <c r="I7" s="47"/>
      <c r="J7" s="44"/>
      <c r="K7" s="44"/>
      <c r="L7" s="44"/>
      <c r="M7" s="44"/>
      <c r="N7" s="44">
        <v>3.0</v>
      </c>
      <c r="O7" s="44" t="s">
        <v>112</v>
      </c>
      <c r="P7" s="44" t="str">
        <f t="shared" si="2"/>
        <v>103</v>
      </c>
      <c r="Q7" s="44"/>
      <c r="R7" s="44">
        <v>3.0</v>
      </c>
      <c r="S7" s="44" t="str">
        <f t="shared" ref="S7:V7" si="3">R19+1</f>
        <v>10</v>
      </c>
      <c r="T7" s="44" t="str">
        <f t="shared" si="3"/>
        <v>17</v>
      </c>
      <c r="U7" s="44" t="str">
        <f t="shared" si="3"/>
        <v>24</v>
      </c>
      <c r="V7" s="44" t="str">
        <f t="shared" si="3"/>
        <v>31</v>
      </c>
    </row>
    <row r="8" ht="36.0" customHeight="1">
      <c r="A8" s="65">
        <v>2.0</v>
      </c>
      <c r="B8" s="66" t="str">
        <f>IFERROR(VLOOKUP($L$3,'학반 시간표'!$A$3:$AM$56,R8,),"")</f>
        <v>선택 A</v>
      </c>
      <c r="C8" s="67" t="str">
        <f>IFERROR(VLOOKUP($L$3,'학반 시간표'!$A$3:$AM$56,S8,),"")</f>
        <v>선택 G</v>
      </c>
      <c r="D8" s="67" t="str">
        <f>IFERROR(VLOOKUP($L$3,'학반 시간표'!$A$3:$AM$56,T8,),"")</f>
        <v>선택 C</v>
      </c>
      <c r="E8" s="67" t="str">
        <f>IFERROR(VLOOKUP($L$3,'학반 시간표'!$A$3:$AM$56,U8,),"")</f>
        <v>선택 B</v>
      </c>
      <c r="F8" s="68" t="str">
        <f>IFERROR(VLOOKUP($L$3,'학반 시간표'!$A$3:$AM$56,V8,),"")</f>
        <v>선택 F</v>
      </c>
      <c r="G8" s="44"/>
      <c r="H8" s="44"/>
      <c r="I8" s="47"/>
      <c r="J8" s="44"/>
      <c r="K8" s="44"/>
      <c r="L8" s="44"/>
      <c r="M8" s="44"/>
      <c r="N8" s="44">
        <v>4.0</v>
      </c>
      <c r="O8" s="44" t="s">
        <v>113</v>
      </c>
      <c r="P8" s="44" t="str">
        <f t="shared" si="2"/>
        <v>104</v>
      </c>
      <c r="Q8" s="44"/>
      <c r="R8" s="44" t="str">
        <f t="shared" ref="R8:V8" si="4">R6+1</f>
        <v>4</v>
      </c>
      <c r="S8" s="44" t="str">
        <f t="shared" si="4"/>
        <v>11</v>
      </c>
      <c r="T8" s="44" t="str">
        <f t="shared" si="4"/>
        <v>18</v>
      </c>
      <c r="U8" s="44" t="str">
        <f t="shared" si="4"/>
        <v>25</v>
      </c>
      <c r="V8" s="44" t="str">
        <f t="shared" si="4"/>
        <v>32</v>
      </c>
    </row>
    <row r="9" ht="26.25" customHeight="1">
      <c r="A9" s="69"/>
      <c r="B9" s="70" t="str">
        <f>IFERROR(VLOOKUP($M$3,'학반 시간표'!$A$3:$AM$56,R9,),"")</f>
        <v/>
      </c>
      <c r="C9" s="71" t="str">
        <f>IFERROR(VLOOKUP($M$3,'학반 시간표'!$A$3:$AM$56,S9,),"")</f>
        <v/>
      </c>
      <c r="D9" s="71" t="str">
        <f>IFERROR(VLOOKUP($M$3,'학반 시간표'!$A$3:$AM$56,T9,),"")</f>
        <v/>
      </c>
      <c r="E9" s="71" t="str">
        <f>IFERROR(VLOOKUP($M$3,'학반 시간표'!$A$3:$AM$56,U9,),"")</f>
        <v/>
      </c>
      <c r="F9" s="72" t="str">
        <f>IFERROR(VLOOKUP($M$3,'학반 시간표'!$A$3:$AM$56,V9,),"")</f>
        <v/>
      </c>
      <c r="G9" s="44"/>
      <c r="H9" s="44"/>
      <c r="I9" s="47"/>
      <c r="J9" s="44"/>
      <c r="K9" s="44"/>
      <c r="L9" s="44"/>
      <c r="M9" s="44"/>
      <c r="N9" s="44">
        <v>5.0</v>
      </c>
      <c r="O9" s="44" t="s">
        <v>114</v>
      </c>
      <c r="P9" s="44" t="str">
        <f t="shared" si="2"/>
        <v>105</v>
      </c>
      <c r="Q9" s="44"/>
      <c r="R9" s="44" t="str">
        <f t="shared" ref="R9:V9" si="5">R7+1</f>
        <v>4</v>
      </c>
      <c r="S9" s="44" t="str">
        <f t="shared" si="5"/>
        <v>11</v>
      </c>
      <c r="T9" s="44" t="str">
        <f t="shared" si="5"/>
        <v>18</v>
      </c>
      <c r="U9" s="44" t="str">
        <f t="shared" si="5"/>
        <v>25</v>
      </c>
      <c r="V9" s="44" t="str">
        <f t="shared" si="5"/>
        <v>32</v>
      </c>
    </row>
    <row r="10" ht="36.0" customHeight="1">
      <c r="A10" s="57">
        <v>3.0</v>
      </c>
      <c r="B10" s="58" t="str">
        <f>IFERROR(VLOOKUP($L$3,'학반 시간표'!$A$3:$AM$56,R10,),"")</f>
        <v>선택 C</v>
      </c>
      <c r="C10" s="59" t="str">
        <f>IFERROR(VLOOKUP($L$3,'학반 시간표'!$A$3:$AM$56,S10,),"")</f>
        <v>선택 F</v>
      </c>
      <c r="D10" s="59" t="str">
        <f>IFERROR(VLOOKUP($L$3,'학반 시간표'!$A$3:$AM$56,T10,),"")</f>
        <v>선택 D</v>
      </c>
      <c r="E10" s="59" t="str">
        <f>IFERROR(VLOOKUP($L$3,'학반 시간표'!$A$3:$AM$56,U10,),"")</f>
        <v>선택 A</v>
      </c>
      <c r="F10" s="60" t="str">
        <f>IFERROR(VLOOKUP($L$3,'학반 시간표'!$A$3:$AM$56,V10,),"")</f>
        <v>선택 H</v>
      </c>
      <c r="G10" s="44"/>
      <c r="H10" s="44"/>
      <c r="I10" s="47"/>
      <c r="J10" s="44"/>
      <c r="K10" s="44"/>
      <c r="L10" s="44"/>
      <c r="M10" s="44"/>
      <c r="N10" s="44">
        <v>6.0</v>
      </c>
      <c r="O10" s="44" t="s">
        <v>115</v>
      </c>
      <c r="P10" s="44" t="str">
        <f t="shared" si="2"/>
        <v>106</v>
      </c>
      <c r="Q10" s="44"/>
      <c r="R10" s="44" t="str">
        <f t="shared" ref="R10:V10" si="6">R8+1</f>
        <v>5</v>
      </c>
      <c r="S10" s="44" t="str">
        <f t="shared" si="6"/>
        <v>12</v>
      </c>
      <c r="T10" s="44" t="str">
        <f t="shared" si="6"/>
        <v>19</v>
      </c>
      <c r="U10" s="44" t="str">
        <f t="shared" si="6"/>
        <v>26</v>
      </c>
      <c r="V10" s="44" t="str">
        <f t="shared" si="6"/>
        <v>33</v>
      </c>
    </row>
    <row r="11" ht="26.25" customHeight="1">
      <c r="A11" s="61"/>
      <c r="B11" s="62" t="str">
        <f>IFERROR(VLOOKUP($M$3,'학반 시간표'!$A$3:$AM$56,R11,),"")</f>
        <v/>
      </c>
      <c r="C11" s="63" t="str">
        <f>IFERROR(VLOOKUP($M$3,'학반 시간표'!$A$3:$AM$56,S11,),"")</f>
        <v/>
      </c>
      <c r="D11" s="63" t="str">
        <f>IFERROR(VLOOKUP($M$3,'학반 시간표'!$A$3:$AM$56,T11,),"")</f>
        <v/>
      </c>
      <c r="E11" s="63" t="str">
        <f>IFERROR(VLOOKUP($M$3,'학반 시간표'!$A$3:$AM$56,U11,),"")</f>
        <v/>
      </c>
      <c r="F11" s="64" t="str">
        <f>IFERROR(VLOOKUP($M$3,'학반 시간표'!$A$3:$AM$56,V11,),"")</f>
        <v/>
      </c>
      <c r="G11" s="44"/>
      <c r="H11" s="44"/>
      <c r="I11" s="47"/>
      <c r="J11" s="44"/>
      <c r="K11" s="44"/>
      <c r="L11" s="44"/>
      <c r="M11" s="44"/>
      <c r="N11" s="44">
        <v>7.0</v>
      </c>
      <c r="O11" s="44" t="s">
        <v>116</v>
      </c>
      <c r="P11" s="44" t="str">
        <f t="shared" si="2"/>
        <v>107</v>
      </c>
      <c r="Q11" s="44"/>
      <c r="R11" s="44" t="str">
        <f t="shared" ref="R11:V11" si="7">R9+1</f>
        <v>5</v>
      </c>
      <c r="S11" s="44" t="str">
        <f t="shared" si="7"/>
        <v>12</v>
      </c>
      <c r="T11" s="44" t="str">
        <f t="shared" si="7"/>
        <v>19</v>
      </c>
      <c r="U11" s="44" t="str">
        <f t="shared" si="7"/>
        <v>26</v>
      </c>
      <c r="V11" s="44" t="str">
        <f t="shared" si="7"/>
        <v>33</v>
      </c>
    </row>
    <row r="12" ht="36.0" customHeight="1">
      <c r="A12" s="65">
        <v>4.0</v>
      </c>
      <c r="B12" s="66" t="str">
        <f>IFERROR(VLOOKUP($L$3,'학반 시간표'!$A$3:$AM$56,R12,),"")</f>
        <v>선택 D</v>
      </c>
      <c r="C12" s="67" t="str">
        <f>IFERROR(VLOOKUP($L$3,'학반 시간표'!$A$3:$AM$56,S12,),"")</f>
        <v>선택 C</v>
      </c>
      <c r="D12" s="67" t="str">
        <f>IFERROR(VLOOKUP($L$3,'학반 시간표'!$A$3:$AM$56,T12,),"")</f>
        <v>선택 A</v>
      </c>
      <c r="E12" s="67" t="str">
        <f>IFERROR(VLOOKUP($L$3,'학반 시간표'!$A$3:$AM$56,U12,),"")</f>
        <v>선택 C</v>
      </c>
      <c r="F12" s="68" t="str">
        <f>IFERROR(VLOOKUP($L$3,'학반 시간표'!$A$3:$AM$56,V12,),"")</f>
        <v>선택 G</v>
      </c>
      <c r="G12" s="44"/>
      <c r="H12" s="44"/>
      <c r="I12" s="47"/>
      <c r="J12" s="44"/>
      <c r="K12" s="44"/>
      <c r="L12" s="44"/>
      <c r="M12" s="44"/>
      <c r="N12" s="44">
        <v>8.0</v>
      </c>
      <c r="O12" s="44" t="s">
        <v>117</v>
      </c>
      <c r="P12" s="44" t="str">
        <f t="shared" si="2"/>
        <v>108</v>
      </c>
      <c r="Q12" s="44"/>
      <c r="R12" s="44" t="str">
        <f t="shared" ref="R12:V12" si="8">R10+1</f>
        <v>6</v>
      </c>
      <c r="S12" s="44" t="str">
        <f t="shared" si="8"/>
        <v>13</v>
      </c>
      <c r="T12" s="44" t="str">
        <f t="shared" si="8"/>
        <v>20</v>
      </c>
      <c r="U12" s="44" t="str">
        <f t="shared" si="8"/>
        <v>27</v>
      </c>
      <c r="V12" s="44" t="str">
        <f t="shared" si="8"/>
        <v>34</v>
      </c>
    </row>
    <row r="13" ht="26.25" customHeight="1">
      <c r="A13" s="69"/>
      <c r="B13" s="70" t="str">
        <f>IFERROR(VLOOKUP($M$3,'학반 시간표'!$A$3:$AM$56,R13,),"")</f>
        <v/>
      </c>
      <c r="C13" s="71" t="str">
        <f>IFERROR(VLOOKUP($M$3,'학반 시간표'!$A$3:$AM$56,S13,),"")</f>
        <v/>
      </c>
      <c r="D13" s="71" t="str">
        <f>IFERROR(VLOOKUP($M$3,'학반 시간표'!$A$3:$AM$56,T13,),"")</f>
        <v/>
      </c>
      <c r="E13" s="71" t="str">
        <f>IFERROR(VLOOKUP($M$3,'학반 시간표'!$A$3:$AM$56,U13,),"")</f>
        <v/>
      </c>
      <c r="F13" s="72" t="str">
        <f>IFERROR(VLOOKUP($M$3,'학반 시간표'!$A$3:$AM$56,V13,),"")</f>
        <v/>
      </c>
      <c r="G13" s="44"/>
      <c r="H13" s="44"/>
      <c r="I13" s="47"/>
      <c r="J13" s="44"/>
      <c r="K13" s="44"/>
      <c r="L13" s="44"/>
      <c r="M13" s="44"/>
      <c r="N13" s="44">
        <v>9.0</v>
      </c>
      <c r="O13" s="44" t="s">
        <v>118</v>
      </c>
      <c r="P13" s="44" t="str">
        <f t="shared" si="2"/>
        <v>109</v>
      </c>
      <c r="Q13" s="44"/>
      <c r="R13" s="44" t="str">
        <f t="shared" ref="R13:V13" si="9">R11+1</f>
        <v>6</v>
      </c>
      <c r="S13" s="44" t="str">
        <f t="shared" si="9"/>
        <v>13</v>
      </c>
      <c r="T13" s="44" t="str">
        <f t="shared" si="9"/>
        <v>20</v>
      </c>
      <c r="U13" s="44" t="str">
        <f t="shared" si="9"/>
        <v>27</v>
      </c>
      <c r="V13" s="44" t="str">
        <f t="shared" si="9"/>
        <v>34</v>
      </c>
    </row>
    <row r="14" ht="36.0" customHeight="1">
      <c r="A14" s="57">
        <v>5.0</v>
      </c>
      <c r="B14" s="58" t="str">
        <f>IFERROR(VLOOKUP($L$3,'학반 시간표'!$A$3:$AM$56,R14,),"")</f>
        <v>선택 G</v>
      </c>
      <c r="C14" s="59" t="str">
        <f>IFERROR(VLOOKUP($L$3,'학반 시간표'!$A$3:$AM$56,S14,),"")</f>
        <v>선택 B</v>
      </c>
      <c r="D14" s="59" t="str">
        <f>IFERROR(VLOOKUP($L$3,'학반 시간표'!$A$3:$AM$56,T14,),"")</f>
        <v>선택 H</v>
      </c>
      <c r="E14" s="59" t="str">
        <f>IFERROR(VLOOKUP($L$3,'학반 시간표'!$A$3:$AM$56,U14,),"")</f>
        <v>선택 D</v>
      </c>
      <c r="F14" s="60" t="str">
        <f>IFERROR(VLOOKUP($L$3,'학반 시간표'!$A$3:$AM$56,V14,),"")</f>
        <v>선택 D</v>
      </c>
      <c r="G14" s="44"/>
      <c r="H14" s="44"/>
      <c r="I14" s="47"/>
      <c r="J14" s="44"/>
      <c r="K14" s="44"/>
      <c r="L14" s="44"/>
      <c r="M14" s="44"/>
      <c r="N14" s="44">
        <v>10.0</v>
      </c>
      <c r="O14" s="44" t="s">
        <v>119</v>
      </c>
      <c r="P14" s="44">
        <v>201.0</v>
      </c>
      <c r="Q14" s="44"/>
      <c r="R14" s="44" t="str">
        <f t="shared" ref="R14:V14" si="10">R12+1</f>
        <v>7</v>
      </c>
      <c r="S14" s="44" t="str">
        <f t="shared" si="10"/>
        <v>14</v>
      </c>
      <c r="T14" s="44" t="str">
        <f t="shared" si="10"/>
        <v>21</v>
      </c>
      <c r="U14" s="44" t="str">
        <f t="shared" si="10"/>
        <v>28</v>
      </c>
      <c r="V14" s="44" t="str">
        <f t="shared" si="10"/>
        <v>35</v>
      </c>
    </row>
    <row r="15" ht="26.25" customHeight="1">
      <c r="A15" s="61"/>
      <c r="B15" s="62" t="str">
        <f>IFERROR(VLOOKUP($M$3,'학반 시간표'!$A$3:$AM$56,R15,),"")</f>
        <v/>
      </c>
      <c r="C15" s="63" t="str">
        <f>IFERROR(VLOOKUP($M$3,'학반 시간표'!$A$3:$AM$56,S15,),"")</f>
        <v/>
      </c>
      <c r="D15" s="63" t="str">
        <f>IFERROR(VLOOKUP($M$3,'학반 시간표'!$A$3:$AM$56,T15,),"")</f>
        <v/>
      </c>
      <c r="E15" s="63" t="str">
        <f>IFERROR(VLOOKUP($M$3,'학반 시간표'!$A$3:$AM$56,U15,),"")</f>
        <v/>
      </c>
      <c r="F15" s="64" t="str">
        <f>IFERROR(VLOOKUP($M$3,'학반 시간표'!$A$3:$AM$56,V15,),"")</f>
        <v/>
      </c>
      <c r="G15" s="44"/>
      <c r="H15" s="44"/>
      <c r="I15" s="47"/>
      <c r="J15" s="44"/>
      <c r="K15" s="44"/>
      <c r="L15" s="44"/>
      <c r="M15" s="44"/>
      <c r="N15" s="44">
        <v>11.0</v>
      </c>
      <c r="O15" s="44" t="s">
        <v>120</v>
      </c>
      <c r="P15" s="44" t="str">
        <f t="shared" ref="P15:P22" si="12">P14+1</f>
        <v>202</v>
      </c>
      <c r="Q15" s="44"/>
      <c r="R15" s="44" t="str">
        <f t="shared" ref="R15:V15" si="11">R13+1</f>
        <v>7</v>
      </c>
      <c r="S15" s="44" t="str">
        <f t="shared" si="11"/>
        <v>14</v>
      </c>
      <c r="T15" s="44" t="str">
        <f t="shared" si="11"/>
        <v>21</v>
      </c>
      <c r="U15" s="44" t="str">
        <f t="shared" si="11"/>
        <v>28</v>
      </c>
      <c r="V15" s="44" t="str">
        <f t="shared" si="11"/>
        <v>35</v>
      </c>
    </row>
    <row r="16" ht="36.0" customHeight="1">
      <c r="A16" s="65">
        <v>6.0</v>
      </c>
      <c r="B16" s="66" t="str">
        <f>IFERROR(VLOOKUP($L$3,'학반 시간표'!$A$3:$AM$56,R16,),"")</f>
        <v>선택 E</v>
      </c>
      <c r="C16" s="67" t="str">
        <f>IFERROR(VLOOKUP($L$3,'학반 시간표'!$A$3:$AM$56,S16,),"")</f>
        <v>선택 A</v>
      </c>
      <c r="D16" s="67" t="str">
        <f>IFERROR(VLOOKUP($L$3,'학반 시간표'!$A$3:$AM$56,T16,),"")</f>
        <v>선택 G</v>
      </c>
      <c r="E16" s="67" t="str">
        <f>IFERROR(VLOOKUP($L$3,'학반 시간표'!$A$3:$AM$56,U16,),"")</f>
        <v>선택 F</v>
      </c>
      <c r="F16" s="68" t="str">
        <f>IFERROR(VLOOKUP($L$3,'학반 시간표'!$A$3:$AM$56,V16,),"")</f>
        <v>선택 E</v>
      </c>
      <c r="G16" s="44"/>
      <c r="H16" s="44"/>
      <c r="I16" s="47"/>
      <c r="J16" s="44"/>
      <c r="K16" s="44"/>
      <c r="L16" s="44"/>
      <c r="M16" s="44"/>
      <c r="N16" s="44">
        <v>12.0</v>
      </c>
      <c r="O16" s="44" t="s">
        <v>121</v>
      </c>
      <c r="P16" s="44" t="str">
        <f t="shared" si="12"/>
        <v>203</v>
      </c>
      <c r="Q16" s="44"/>
      <c r="R16" s="44" t="str">
        <f t="shared" ref="R16:V16" si="13">R14+1</f>
        <v>8</v>
      </c>
      <c r="S16" s="44" t="str">
        <f t="shared" si="13"/>
        <v>15</v>
      </c>
      <c r="T16" s="44" t="str">
        <f t="shared" si="13"/>
        <v>22</v>
      </c>
      <c r="U16" s="44" t="str">
        <f t="shared" si="13"/>
        <v>29</v>
      </c>
      <c r="V16" s="44" t="str">
        <f t="shared" si="13"/>
        <v>36</v>
      </c>
    </row>
    <row r="17" ht="26.25" customHeight="1">
      <c r="A17" s="69"/>
      <c r="B17" s="70" t="str">
        <f>IFERROR(VLOOKUP($M$3,'학반 시간표'!$A$3:$AM$56,R17,),"")</f>
        <v/>
      </c>
      <c r="C17" s="71" t="str">
        <f>IFERROR(VLOOKUP($M$3,'학반 시간표'!$A$3:$AM$56,S17,),"")</f>
        <v/>
      </c>
      <c r="D17" s="71" t="str">
        <f>IFERROR(VLOOKUP($M$3,'학반 시간표'!$A$3:$AM$56,T17,),"")</f>
        <v/>
      </c>
      <c r="E17" s="71" t="str">
        <f>IFERROR(VLOOKUP($M$3,'학반 시간표'!$A$3:$AM$56,U17,),"")</f>
        <v/>
      </c>
      <c r="F17" s="72" t="str">
        <f>IFERROR(VLOOKUP($M$3,'학반 시간표'!$A$3:$AM$56,V17,),"")</f>
        <v/>
      </c>
      <c r="G17" s="44"/>
      <c r="H17" s="44"/>
      <c r="I17" s="47"/>
      <c r="J17" s="44"/>
      <c r="K17" s="44"/>
      <c r="L17" s="44"/>
      <c r="M17" s="44"/>
      <c r="N17" s="44">
        <v>13.0</v>
      </c>
      <c r="O17" s="44" t="s">
        <v>122</v>
      </c>
      <c r="P17" s="44" t="str">
        <f t="shared" si="12"/>
        <v>204</v>
      </c>
      <c r="Q17" s="44"/>
      <c r="R17" s="44" t="str">
        <f t="shared" ref="R17:V17" si="14">R15+1</f>
        <v>8</v>
      </c>
      <c r="S17" s="44" t="str">
        <f t="shared" si="14"/>
        <v>15</v>
      </c>
      <c r="T17" s="44" t="str">
        <f t="shared" si="14"/>
        <v>22</v>
      </c>
      <c r="U17" s="44" t="str">
        <f t="shared" si="14"/>
        <v>29</v>
      </c>
      <c r="V17" s="44" t="str">
        <f t="shared" si="14"/>
        <v>36</v>
      </c>
    </row>
    <row r="18" ht="36.0" customHeight="1">
      <c r="A18" s="57">
        <v>7.0</v>
      </c>
      <c r="B18" s="58" t="str">
        <f>IFERROR(VLOOKUP($L$3,'학반 시간표'!$A$3:$AM$56,R18,),"")</f>
        <v>선택 F</v>
      </c>
      <c r="C18" s="59" t="str">
        <f>IFERROR(VLOOKUP($L$3,'학반 시간표'!$A$3:$AM$56,S18,),"")</f>
        <v>선택 H</v>
      </c>
      <c r="D18" s="59" t="str">
        <f>IFERROR(VLOOKUP($L$3,'학반 시간표'!$A$3:$AM$56,T18,),"")</f>
        <v>공강</v>
      </c>
      <c r="E18" s="59" t="str">
        <f>IFERROR(VLOOKUP($L$3,'학반 시간표'!$A$3:$AM$56,U18,),"")</f>
        <v>선택 E</v>
      </c>
      <c r="F18" s="60" t="str">
        <f>IFERROR(VLOOKUP($L$3,'학반 시간표'!$A$3:$AM$56,V18,),"")</f>
        <v>동아리</v>
      </c>
      <c r="G18" s="44"/>
      <c r="H18" s="44"/>
      <c r="I18" s="47"/>
      <c r="J18" s="44"/>
      <c r="K18" s="44"/>
      <c r="L18" s="44"/>
      <c r="M18" s="44"/>
      <c r="N18" s="44">
        <v>14.0</v>
      </c>
      <c r="O18" s="44" t="s">
        <v>106</v>
      </c>
      <c r="P18" s="44" t="str">
        <f t="shared" si="12"/>
        <v>205</v>
      </c>
      <c r="Q18" s="44"/>
      <c r="R18" s="44" t="str">
        <f t="shared" ref="R18:V18" si="15">R16+1</f>
        <v>9</v>
      </c>
      <c r="S18" s="44" t="str">
        <f t="shared" si="15"/>
        <v>16</v>
      </c>
      <c r="T18" s="44" t="str">
        <f t="shared" si="15"/>
        <v>23</v>
      </c>
      <c r="U18" s="44" t="str">
        <f t="shared" si="15"/>
        <v>30</v>
      </c>
      <c r="V18" s="44" t="str">
        <f t="shared" si="15"/>
        <v>37</v>
      </c>
    </row>
    <row r="19" ht="26.25" customHeight="1">
      <c r="A19" s="73"/>
      <c r="B19" s="74" t="str">
        <f>IFERROR(VLOOKUP($M$3,'학반 시간표'!$A$3:$AM$56,R19,),"")</f>
        <v/>
      </c>
      <c r="C19" s="75" t="str">
        <f>IFERROR(VLOOKUP($M$3,'학반 시간표'!$A$3:$AM$56,S19,),"")</f>
        <v/>
      </c>
      <c r="D19" s="75" t="str">
        <f>IFERROR(VLOOKUP($M$3,'학반 시간표'!$A$3:$AM$56,T19,),"")</f>
        <v/>
      </c>
      <c r="E19" s="75" t="str">
        <f>IFERROR(VLOOKUP($M$3,'학반 시간표'!$A$3:$AM$56,U19,),"")</f>
        <v/>
      </c>
      <c r="F19" s="76" t="str">
        <f>IFERROR(VLOOKUP($M$3,'학반 시간표'!$A$3:$AM$56,V19,),"")</f>
        <v/>
      </c>
      <c r="G19" s="44"/>
      <c r="H19" s="44"/>
      <c r="I19" s="47"/>
      <c r="J19" s="44"/>
      <c r="K19" s="44"/>
      <c r="L19" s="44"/>
      <c r="M19" s="44"/>
      <c r="N19" s="44">
        <v>15.0</v>
      </c>
      <c r="O19" s="44" t="s">
        <v>123</v>
      </c>
      <c r="P19" s="44" t="str">
        <f t="shared" si="12"/>
        <v>206</v>
      </c>
      <c r="Q19" s="44"/>
      <c r="R19" s="44" t="str">
        <f t="shared" ref="R19:V19" si="16">R17+1</f>
        <v>9</v>
      </c>
      <c r="S19" s="44" t="str">
        <f t="shared" si="16"/>
        <v>16</v>
      </c>
      <c r="T19" s="44" t="str">
        <f t="shared" si="16"/>
        <v>23</v>
      </c>
      <c r="U19" s="44" t="str">
        <f t="shared" si="16"/>
        <v>30</v>
      </c>
      <c r="V19" s="44" t="str">
        <f t="shared" si="16"/>
        <v>37</v>
      </c>
    </row>
    <row r="20" ht="27.75" customHeight="1">
      <c r="A20" s="44"/>
      <c r="B20" s="44"/>
      <c r="C20" s="44"/>
      <c r="D20" s="44"/>
      <c r="E20" s="44"/>
      <c r="F20" s="44"/>
      <c r="G20" s="44"/>
      <c r="H20" s="44"/>
      <c r="I20" s="47"/>
      <c r="J20" s="44"/>
      <c r="K20" s="44"/>
      <c r="L20" s="44"/>
      <c r="M20" s="44"/>
      <c r="N20" s="44">
        <v>16.0</v>
      </c>
      <c r="O20" s="44" t="s">
        <v>124</v>
      </c>
      <c r="P20" s="44" t="str">
        <f t="shared" si="12"/>
        <v>207</v>
      </c>
      <c r="Q20" s="44"/>
      <c r="R20" s="44"/>
      <c r="S20" s="44"/>
      <c r="T20" s="44"/>
      <c r="U20" s="44"/>
      <c r="V20" s="44"/>
    </row>
    <row r="21" ht="27.75" customHeight="1">
      <c r="B21" s="44"/>
      <c r="C21" s="44"/>
      <c r="D21" s="44"/>
      <c r="E21" s="44"/>
      <c r="F21" s="44"/>
      <c r="G21" s="44"/>
      <c r="H21" s="44"/>
      <c r="I21" s="47"/>
      <c r="J21" s="44"/>
      <c r="K21" s="44"/>
      <c r="L21" s="44"/>
      <c r="M21" s="44"/>
      <c r="N21" s="44">
        <v>17.0</v>
      </c>
      <c r="O21" s="44" t="s">
        <v>125</v>
      </c>
      <c r="P21" s="44" t="str">
        <f t="shared" si="12"/>
        <v>208</v>
      </c>
      <c r="Q21" s="44"/>
      <c r="R21" s="44"/>
      <c r="S21" s="44"/>
      <c r="T21" s="44"/>
      <c r="U21" s="44"/>
      <c r="V21" s="44"/>
    </row>
    <row r="22" ht="27.75" customHeight="1">
      <c r="A22" s="44"/>
      <c r="B22" s="44"/>
      <c r="C22" s="44"/>
      <c r="D22" s="44"/>
      <c r="E22" s="44"/>
      <c r="F22" s="44"/>
      <c r="G22" s="44"/>
      <c r="H22" s="44"/>
      <c r="I22" s="47"/>
      <c r="J22" s="44"/>
      <c r="K22" s="44"/>
      <c r="L22" s="44"/>
      <c r="M22" s="44"/>
      <c r="N22" s="44">
        <v>18.0</v>
      </c>
      <c r="O22" s="44" t="s">
        <v>126</v>
      </c>
      <c r="P22" s="44" t="str">
        <f t="shared" si="12"/>
        <v>209</v>
      </c>
      <c r="Q22" s="44"/>
      <c r="R22" s="44"/>
      <c r="S22" s="44"/>
      <c r="T22" s="44"/>
      <c r="U22" s="44"/>
      <c r="V22" s="44">
        <v>39.0</v>
      </c>
    </row>
    <row r="23" ht="27.75" customHeight="1">
      <c r="A23" s="44"/>
      <c r="B23" s="44"/>
      <c r="C23" s="44"/>
      <c r="D23" s="44"/>
      <c r="E23" s="44"/>
      <c r="F23" s="44"/>
      <c r="G23" s="44"/>
      <c r="H23" s="44"/>
      <c r="I23" s="47"/>
      <c r="J23" s="44"/>
      <c r="K23" s="44"/>
      <c r="L23" s="44"/>
      <c r="M23" s="44"/>
      <c r="N23" s="44">
        <v>19.0</v>
      </c>
      <c r="O23" s="44" t="s">
        <v>127</v>
      </c>
      <c r="P23" s="44">
        <v>301.0</v>
      </c>
      <c r="Q23" s="44"/>
      <c r="R23" s="44"/>
      <c r="S23" s="44"/>
      <c r="T23" s="44"/>
      <c r="U23" s="44"/>
      <c r="V23" s="44"/>
    </row>
    <row r="24" ht="27.75" customHeight="1">
      <c r="A24" s="44"/>
      <c r="B24" s="44"/>
      <c r="C24" s="44"/>
      <c r="D24" s="44"/>
      <c r="E24" s="44"/>
      <c r="F24" s="44"/>
      <c r="G24" s="44"/>
      <c r="H24" s="44"/>
      <c r="I24" s="47"/>
      <c r="J24" s="44"/>
      <c r="K24" s="44"/>
      <c r="L24" s="44"/>
      <c r="M24" s="44"/>
      <c r="N24" s="44">
        <v>20.0</v>
      </c>
      <c r="O24" s="44" t="s">
        <v>128</v>
      </c>
      <c r="P24" s="44" t="str">
        <f t="shared" ref="P24:P31" si="17">P23+1</f>
        <v>302</v>
      </c>
      <c r="Q24" s="44"/>
      <c r="R24" s="44"/>
      <c r="S24" s="44"/>
      <c r="T24" s="44"/>
      <c r="U24" s="44"/>
      <c r="V24" s="44"/>
    </row>
    <row r="25" ht="27.75" customHeight="1">
      <c r="A25" s="44"/>
      <c r="B25" s="44"/>
      <c r="C25" s="44"/>
      <c r="D25" s="44"/>
      <c r="E25" s="44"/>
      <c r="F25" s="44"/>
      <c r="G25" s="44"/>
      <c r="H25" s="44"/>
      <c r="I25" s="47"/>
      <c r="J25" s="44"/>
      <c r="K25" s="44"/>
      <c r="L25" s="44"/>
      <c r="M25" s="44"/>
      <c r="N25" s="44">
        <v>21.0</v>
      </c>
      <c r="O25" s="44" t="s">
        <v>129</v>
      </c>
      <c r="P25" s="44" t="str">
        <f t="shared" si="17"/>
        <v>303</v>
      </c>
      <c r="Q25" s="44"/>
      <c r="R25" s="44"/>
      <c r="S25" s="44"/>
      <c r="T25" s="44"/>
      <c r="U25" s="44"/>
      <c r="V25" s="44"/>
    </row>
    <row r="26" ht="27.75" customHeight="1">
      <c r="A26" s="44"/>
      <c r="B26" s="44"/>
      <c r="C26" s="44"/>
      <c r="D26" s="44"/>
      <c r="E26" s="44"/>
      <c r="F26" s="44"/>
      <c r="G26" s="44"/>
      <c r="H26" s="44"/>
      <c r="I26" s="47"/>
      <c r="J26" s="44"/>
      <c r="K26" s="44"/>
      <c r="L26" s="44"/>
      <c r="M26" s="44"/>
      <c r="N26" s="44" t="str">
        <f t="shared" ref="N26:N31" si="18">N25+1</f>
        <v>22</v>
      </c>
      <c r="O26" s="44" t="s">
        <v>130</v>
      </c>
      <c r="P26" s="44" t="str">
        <f t="shared" si="17"/>
        <v>304</v>
      </c>
      <c r="Q26" s="44"/>
      <c r="R26" s="44"/>
      <c r="S26" s="44"/>
      <c r="T26" s="44"/>
      <c r="U26" s="44"/>
      <c r="V26" s="44"/>
    </row>
    <row r="27" ht="26.25" customHeight="1">
      <c r="A27" s="44"/>
      <c r="B27" s="44"/>
      <c r="C27" s="44"/>
      <c r="D27" s="44"/>
      <c r="E27" s="44"/>
      <c r="F27" s="44"/>
      <c r="G27" s="44"/>
      <c r="H27" s="44"/>
      <c r="I27" s="47"/>
      <c r="J27" s="44"/>
      <c r="K27" s="44"/>
      <c r="L27" s="44"/>
      <c r="M27" s="44"/>
      <c r="N27" s="44" t="str">
        <f t="shared" si="18"/>
        <v>23</v>
      </c>
      <c r="O27" s="44" t="s">
        <v>131</v>
      </c>
      <c r="P27" s="44" t="str">
        <f t="shared" si="17"/>
        <v>305</v>
      </c>
      <c r="Q27" s="44"/>
      <c r="R27" s="44"/>
      <c r="S27" s="44"/>
      <c r="T27" s="44"/>
      <c r="U27" s="44"/>
      <c r="V27" s="44"/>
    </row>
    <row r="28" ht="26.25" customHeight="1">
      <c r="A28" s="44"/>
      <c r="B28" s="44"/>
      <c r="C28" s="44"/>
      <c r="D28" s="44"/>
      <c r="E28" s="44"/>
      <c r="F28" s="44"/>
      <c r="G28" s="44"/>
      <c r="H28" s="44"/>
      <c r="I28" s="47"/>
      <c r="J28" s="44"/>
      <c r="K28" s="44"/>
      <c r="L28" s="44"/>
      <c r="M28" s="44"/>
      <c r="N28" s="44" t="str">
        <f t="shared" si="18"/>
        <v>24</v>
      </c>
      <c r="O28" s="44" t="s">
        <v>132</v>
      </c>
      <c r="P28" s="44" t="str">
        <f t="shared" si="17"/>
        <v>306</v>
      </c>
      <c r="Q28" s="44"/>
      <c r="R28" s="44"/>
      <c r="S28" s="44"/>
      <c r="T28" s="44"/>
      <c r="U28" s="44"/>
      <c r="V28" s="44"/>
    </row>
    <row r="29" ht="26.25" customHeight="1">
      <c r="A29" s="44"/>
      <c r="B29" s="44"/>
      <c r="C29" s="44"/>
      <c r="D29" s="44"/>
      <c r="E29" s="44"/>
      <c r="F29" s="44"/>
      <c r="G29" s="44"/>
      <c r="H29" s="44"/>
      <c r="I29" s="47"/>
      <c r="J29" s="44"/>
      <c r="K29" s="44"/>
      <c r="L29" s="44"/>
      <c r="M29" s="44"/>
      <c r="N29" s="44" t="str">
        <f t="shared" si="18"/>
        <v>25</v>
      </c>
      <c r="O29" s="44" t="s">
        <v>133</v>
      </c>
      <c r="P29" s="44" t="str">
        <f t="shared" si="17"/>
        <v>307</v>
      </c>
      <c r="Q29" s="44"/>
      <c r="R29" s="44"/>
      <c r="S29" s="44"/>
      <c r="T29" s="44"/>
      <c r="U29" s="44"/>
      <c r="V29" s="44"/>
    </row>
    <row r="30" ht="26.25" customHeight="1">
      <c r="A30" s="44"/>
      <c r="B30" s="44"/>
      <c r="C30" s="44"/>
      <c r="D30" s="44"/>
      <c r="E30" s="44"/>
      <c r="F30" s="44"/>
      <c r="G30" s="44"/>
      <c r="H30" s="44"/>
      <c r="I30" s="47"/>
      <c r="J30" s="44"/>
      <c r="K30" s="44"/>
      <c r="L30" s="44"/>
      <c r="M30" s="44"/>
      <c r="N30" s="44" t="str">
        <f t="shared" si="18"/>
        <v>26</v>
      </c>
      <c r="O30" s="44" t="s">
        <v>134</v>
      </c>
      <c r="P30" s="44" t="str">
        <f t="shared" si="17"/>
        <v>308</v>
      </c>
      <c r="Q30" s="44"/>
      <c r="R30" s="44"/>
      <c r="S30" s="44"/>
      <c r="T30" s="44"/>
      <c r="U30" s="44"/>
      <c r="V30" s="44"/>
    </row>
    <row r="31" ht="26.25" customHeight="1">
      <c r="A31" s="44"/>
      <c r="B31" s="44"/>
      <c r="C31" s="44"/>
      <c r="D31" s="44"/>
      <c r="E31" s="44"/>
      <c r="F31" s="44"/>
      <c r="G31" s="44"/>
      <c r="H31" s="44"/>
      <c r="I31" s="47"/>
      <c r="J31" s="44"/>
      <c r="K31" s="44"/>
      <c r="L31" s="44"/>
      <c r="M31" s="44"/>
      <c r="N31" s="44" t="str">
        <f t="shared" si="18"/>
        <v>27</v>
      </c>
      <c r="O31" s="44" t="s">
        <v>135</v>
      </c>
      <c r="P31" s="44" t="str">
        <f t="shared" si="17"/>
        <v>309</v>
      </c>
      <c r="Q31" s="44"/>
      <c r="R31" s="44"/>
      <c r="S31" s="44"/>
      <c r="T31" s="44"/>
      <c r="U31" s="44"/>
      <c r="V31" s="44"/>
    </row>
    <row r="32" ht="26.25" customHeight="1">
      <c r="A32" s="44"/>
      <c r="B32" s="44"/>
      <c r="C32" s="44"/>
      <c r="D32" s="44"/>
      <c r="E32" s="44"/>
      <c r="F32" s="44"/>
      <c r="G32" s="44"/>
      <c r="H32" s="44"/>
      <c r="I32" s="47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</row>
    <row r="33" ht="26.25" customHeight="1">
      <c r="A33" s="44"/>
      <c r="B33" s="44"/>
      <c r="C33" s="44"/>
      <c r="D33" s="44"/>
      <c r="E33" s="44"/>
      <c r="F33" s="44"/>
      <c r="G33" s="44"/>
      <c r="H33" s="44"/>
      <c r="I33" s="47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</row>
    <row r="34" ht="26.25" customHeight="1">
      <c r="A34" s="44"/>
      <c r="B34" s="44"/>
      <c r="C34" s="44"/>
      <c r="D34" s="44"/>
      <c r="E34" s="44"/>
      <c r="F34" s="44"/>
      <c r="G34" s="44"/>
      <c r="H34" s="44"/>
      <c r="I34" s="47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</row>
    <row r="35" ht="26.25" customHeight="1">
      <c r="A35" s="44"/>
      <c r="B35" s="44"/>
      <c r="C35" s="44"/>
      <c r="D35" s="44"/>
      <c r="E35" s="44"/>
      <c r="F35" s="44"/>
      <c r="G35" s="44"/>
      <c r="H35" s="44"/>
      <c r="I35" s="47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</row>
    <row r="36" ht="26.25" customHeight="1">
      <c r="A36" s="44"/>
      <c r="B36" s="44"/>
      <c r="C36" s="44"/>
      <c r="D36" s="44"/>
      <c r="E36" s="44"/>
      <c r="F36" s="44"/>
      <c r="G36" s="44"/>
      <c r="H36" s="44"/>
      <c r="I36" s="47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</row>
    <row r="37" ht="26.25" customHeight="1">
      <c r="A37" s="44"/>
      <c r="B37" s="44"/>
      <c r="C37" s="44"/>
      <c r="D37" s="44"/>
      <c r="E37" s="44"/>
      <c r="F37" s="44"/>
      <c r="G37" s="44"/>
      <c r="H37" s="44"/>
      <c r="I37" s="47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</row>
    <row r="38" ht="26.25" customHeight="1">
      <c r="A38" s="44"/>
      <c r="B38" s="44"/>
      <c r="C38" s="44"/>
      <c r="D38" s="44"/>
      <c r="E38" s="44"/>
      <c r="F38" s="44"/>
      <c r="G38" s="44"/>
      <c r="H38" s="44"/>
      <c r="I38" s="47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</row>
    <row r="39" ht="26.25" customHeight="1">
      <c r="A39" s="44"/>
      <c r="B39" s="44"/>
      <c r="C39" s="44"/>
      <c r="D39" s="44"/>
      <c r="E39" s="44"/>
      <c r="F39" s="44"/>
      <c r="G39" s="44"/>
      <c r="H39" s="44"/>
      <c r="I39" s="47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 ht="26.25" customHeight="1">
      <c r="A40" s="44"/>
      <c r="B40" s="44"/>
      <c r="C40" s="44"/>
      <c r="D40" s="44"/>
      <c r="E40" s="44"/>
      <c r="F40" s="44"/>
      <c r="G40" s="44"/>
      <c r="H40" s="44"/>
      <c r="I40" s="47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</row>
    <row r="41" ht="26.25" customHeight="1">
      <c r="A41" s="44"/>
      <c r="B41" s="44"/>
      <c r="C41" s="44"/>
      <c r="D41" s="44"/>
      <c r="E41" s="44"/>
      <c r="F41" s="44"/>
      <c r="G41" s="44"/>
      <c r="H41" s="44"/>
      <c r="I41" s="47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</row>
    <row r="42" ht="26.25" customHeight="1">
      <c r="A42" s="44"/>
      <c r="B42" s="44"/>
      <c r="C42" s="44"/>
      <c r="D42" s="44"/>
      <c r="E42" s="44"/>
      <c r="F42" s="44"/>
      <c r="G42" s="44"/>
      <c r="H42" s="44"/>
      <c r="I42" s="47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</row>
    <row r="43" ht="26.25" customHeight="1">
      <c r="A43" s="44"/>
      <c r="B43" s="44"/>
      <c r="C43" s="44"/>
      <c r="D43" s="44"/>
      <c r="E43" s="44"/>
      <c r="F43" s="44"/>
      <c r="G43" s="44"/>
      <c r="H43" s="44"/>
      <c r="I43" s="47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 ht="26.25" customHeight="1">
      <c r="A44" s="44"/>
      <c r="B44" s="44"/>
      <c r="C44" s="44"/>
      <c r="D44" s="44"/>
      <c r="E44" s="44"/>
      <c r="F44" s="44"/>
      <c r="G44" s="44"/>
      <c r="H44" s="44"/>
      <c r="I44" s="47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 ht="26.25" customHeight="1">
      <c r="A45" s="44"/>
      <c r="B45" s="44"/>
      <c r="C45" s="44"/>
      <c r="D45" s="44"/>
      <c r="E45" s="44"/>
      <c r="F45" s="44"/>
      <c r="G45" s="44"/>
      <c r="H45" s="44"/>
      <c r="I45" s="47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  <row r="46" ht="26.25" customHeight="1">
      <c r="A46" s="44"/>
      <c r="B46" s="44"/>
      <c r="C46" s="44"/>
      <c r="D46" s="44"/>
      <c r="E46" s="44"/>
      <c r="F46" s="44"/>
      <c r="G46" s="44"/>
      <c r="H46" s="44"/>
      <c r="I46" s="47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</row>
    <row r="47" ht="26.25" customHeight="1">
      <c r="A47" s="44"/>
      <c r="B47" s="44"/>
      <c r="C47" s="44"/>
      <c r="D47" s="44"/>
      <c r="E47" s="44"/>
      <c r="F47" s="44"/>
      <c r="G47" s="44"/>
      <c r="H47" s="44"/>
      <c r="I47" s="47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 ht="26.25" customHeight="1">
      <c r="A48" s="44"/>
      <c r="B48" s="44"/>
      <c r="C48" s="44"/>
      <c r="D48" s="44"/>
      <c r="E48" s="44"/>
      <c r="F48" s="44"/>
      <c r="G48" s="44"/>
      <c r="H48" s="44"/>
      <c r="I48" s="47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</row>
    <row r="49" ht="26.25" customHeight="1">
      <c r="A49" s="44"/>
      <c r="B49" s="44"/>
      <c r="C49" s="44"/>
      <c r="D49" s="44"/>
      <c r="E49" s="44"/>
      <c r="F49" s="44"/>
      <c r="G49" s="44"/>
      <c r="H49" s="44"/>
      <c r="I49" s="47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</row>
    <row r="50" ht="26.25" customHeight="1">
      <c r="A50" s="44"/>
      <c r="B50" s="44"/>
      <c r="C50" s="44"/>
      <c r="D50" s="44"/>
      <c r="E50" s="44"/>
      <c r="F50" s="44"/>
      <c r="G50" s="44"/>
      <c r="H50" s="44"/>
      <c r="I50" s="47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</row>
    <row r="51" ht="26.25" customHeight="1">
      <c r="A51" s="44"/>
      <c r="B51" s="44"/>
      <c r="C51" s="44"/>
      <c r="D51" s="44"/>
      <c r="E51" s="44"/>
      <c r="F51" s="44"/>
      <c r="G51" s="44"/>
      <c r="H51" s="44"/>
      <c r="I51" s="47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</row>
    <row r="52" ht="26.25" customHeight="1">
      <c r="A52" s="44"/>
      <c r="B52" s="44"/>
      <c r="C52" s="44"/>
      <c r="D52" s="44"/>
      <c r="E52" s="44"/>
      <c r="F52" s="44"/>
      <c r="G52" s="44"/>
      <c r="H52" s="44"/>
      <c r="I52" s="47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</row>
    <row r="53" ht="26.25" customHeight="1">
      <c r="A53" s="44"/>
      <c r="B53" s="44"/>
      <c r="C53" s="44"/>
      <c r="D53" s="44"/>
      <c r="E53" s="44"/>
      <c r="F53" s="44"/>
      <c r="G53" s="44"/>
      <c r="H53" s="44"/>
      <c r="I53" s="47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</row>
    <row r="54" ht="26.25" customHeight="1">
      <c r="A54" s="44"/>
      <c r="B54" s="44"/>
      <c r="C54" s="44"/>
      <c r="D54" s="44"/>
      <c r="E54" s="44"/>
      <c r="F54" s="44"/>
      <c r="G54" s="44"/>
      <c r="H54" s="44"/>
      <c r="I54" s="47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</row>
    <row r="55" ht="26.25" customHeight="1">
      <c r="A55" s="44"/>
      <c r="B55" s="44"/>
      <c r="C55" s="44"/>
      <c r="D55" s="44"/>
      <c r="E55" s="44"/>
      <c r="F55" s="44"/>
      <c r="G55" s="44"/>
      <c r="H55" s="44"/>
      <c r="I55" s="47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</row>
    <row r="56" ht="26.25" customHeight="1">
      <c r="A56" s="44"/>
      <c r="B56" s="44"/>
      <c r="C56" s="44"/>
      <c r="D56" s="44"/>
      <c r="E56" s="44"/>
      <c r="F56" s="44"/>
      <c r="G56" s="44"/>
      <c r="H56" s="44"/>
      <c r="I56" s="47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 ht="26.25" customHeight="1">
      <c r="A57" s="44"/>
      <c r="B57" s="44"/>
      <c r="C57" s="44"/>
      <c r="D57" s="44"/>
      <c r="E57" s="44"/>
      <c r="F57" s="44"/>
      <c r="G57" s="44"/>
      <c r="H57" s="44"/>
      <c r="I57" s="47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</row>
    <row r="58" ht="26.25" customHeight="1">
      <c r="A58" s="44"/>
      <c r="B58" s="44"/>
      <c r="C58" s="44"/>
      <c r="D58" s="44"/>
      <c r="E58" s="44"/>
      <c r="F58" s="44"/>
      <c r="G58" s="44"/>
      <c r="H58" s="44"/>
      <c r="I58" s="47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</row>
    <row r="59" ht="26.25" customHeight="1">
      <c r="A59" s="44"/>
      <c r="B59" s="44"/>
      <c r="C59" s="44"/>
      <c r="D59" s="44"/>
      <c r="E59" s="44"/>
      <c r="F59" s="44"/>
      <c r="G59" s="44"/>
      <c r="H59" s="44"/>
      <c r="I59" s="47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</row>
    <row r="60" ht="26.25" customHeight="1">
      <c r="A60" s="44"/>
      <c r="B60" s="44"/>
      <c r="C60" s="44"/>
      <c r="D60" s="44"/>
      <c r="E60" s="44"/>
      <c r="F60" s="44"/>
      <c r="G60" s="44"/>
      <c r="H60" s="44"/>
      <c r="I60" s="47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 ht="26.25" customHeight="1">
      <c r="A61" s="44"/>
      <c r="B61" s="44"/>
      <c r="C61" s="44"/>
      <c r="D61" s="44"/>
      <c r="E61" s="44"/>
      <c r="F61" s="44"/>
      <c r="G61" s="44"/>
      <c r="H61" s="44"/>
      <c r="I61" s="47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 ht="26.25" customHeight="1">
      <c r="A62" s="44"/>
      <c r="B62" s="44"/>
      <c r="C62" s="44"/>
      <c r="D62" s="44"/>
      <c r="E62" s="44"/>
      <c r="F62" s="44"/>
      <c r="G62" s="44"/>
      <c r="H62" s="44"/>
      <c r="I62" s="47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 ht="26.25" customHeight="1">
      <c r="A63" s="44"/>
      <c r="B63" s="44"/>
      <c r="C63" s="44"/>
      <c r="D63" s="44"/>
      <c r="E63" s="44"/>
      <c r="F63" s="44"/>
      <c r="G63" s="44"/>
      <c r="H63" s="44"/>
      <c r="I63" s="47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  <row r="64" ht="26.25" customHeight="1">
      <c r="A64" s="44"/>
      <c r="B64" s="44"/>
      <c r="C64" s="44"/>
      <c r="D64" s="44"/>
      <c r="E64" s="44"/>
      <c r="F64" s="44"/>
      <c r="G64" s="44"/>
      <c r="H64" s="44"/>
      <c r="I64" s="47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</row>
    <row r="65" ht="26.25" customHeight="1">
      <c r="A65" s="44"/>
      <c r="B65" s="44"/>
      <c r="C65" s="44"/>
      <c r="D65" s="44"/>
      <c r="E65" s="44"/>
      <c r="F65" s="44"/>
      <c r="G65" s="44"/>
      <c r="H65" s="44"/>
      <c r="I65" s="47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 ht="26.25" customHeight="1">
      <c r="A66" s="44"/>
      <c r="B66" s="44"/>
      <c r="C66" s="44"/>
      <c r="D66" s="44"/>
      <c r="E66" s="44"/>
      <c r="F66" s="44"/>
      <c r="G66" s="44"/>
      <c r="H66" s="44"/>
      <c r="I66" s="47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 ht="26.25" customHeight="1">
      <c r="A67" s="44"/>
      <c r="B67" s="44"/>
      <c r="C67" s="44"/>
      <c r="D67" s="44"/>
      <c r="E67" s="44"/>
      <c r="F67" s="44"/>
      <c r="G67" s="44"/>
      <c r="H67" s="44"/>
      <c r="I67" s="47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 ht="26.25" customHeight="1">
      <c r="A68" s="44"/>
      <c r="B68" s="44"/>
      <c r="C68" s="44"/>
      <c r="D68" s="44"/>
      <c r="E68" s="44"/>
      <c r="F68" s="44"/>
      <c r="G68" s="44"/>
      <c r="H68" s="44"/>
      <c r="I68" s="47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 ht="26.25" customHeight="1">
      <c r="A69" s="44"/>
      <c r="B69" s="44"/>
      <c r="C69" s="44"/>
      <c r="D69" s="44"/>
      <c r="E69" s="44"/>
      <c r="F69" s="44"/>
      <c r="G69" s="44"/>
      <c r="H69" s="44"/>
      <c r="I69" s="47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 ht="26.25" customHeight="1">
      <c r="A70" s="44"/>
      <c r="B70" s="44"/>
      <c r="C70" s="44"/>
      <c r="D70" s="44"/>
      <c r="E70" s="44"/>
      <c r="F70" s="44"/>
      <c r="G70" s="44"/>
      <c r="H70" s="44"/>
      <c r="I70" s="47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 ht="26.25" customHeight="1">
      <c r="A71" s="44"/>
      <c r="B71" s="44"/>
      <c r="C71" s="44"/>
      <c r="D71" s="44"/>
      <c r="E71" s="44"/>
      <c r="F71" s="44"/>
      <c r="G71" s="44"/>
      <c r="H71" s="44"/>
      <c r="I71" s="47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 ht="26.25" customHeight="1">
      <c r="A72" s="44"/>
      <c r="B72" s="44"/>
      <c r="C72" s="44"/>
      <c r="D72" s="44"/>
      <c r="E72" s="44"/>
      <c r="F72" s="44"/>
      <c r="G72" s="44"/>
      <c r="H72" s="44"/>
      <c r="I72" s="47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 ht="26.25" customHeight="1">
      <c r="A73" s="44"/>
      <c r="B73" s="44"/>
      <c r="C73" s="44"/>
      <c r="D73" s="44"/>
      <c r="E73" s="44"/>
      <c r="F73" s="44"/>
      <c r="G73" s="44"/>
      <c r="H73" s="44"/>
      <c r="I73" s="47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 ht="26.25" customHeight="1">
      <c r="A74" s="44"/>
      <c r="B74" s="44"/>
      <c r="C74" s="44"/>
      <c r="D74" s="44"/>
      <c r="E74" s="44"/>
      <c r="F74" s="44"/>
      <c r="G74" s="44"/>
      <c r="H74" s="44"/>
      <c r="I74" s="47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 ht="26.25" customHeight="1">
      <c r="A75" s="44"/>
      <c r="B75" s="44"/>
      <c r="C75" s="44"/>
      <c r="D75" s="44"/>
      <c r="E75" s="44"/>
      <c r="F75" s="44"/>
      <c r="G75" s="44"/>
      <c r="H75" s="44"/>
      <c r="I75" s="47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 ht="26.25" customHeight="1">
      <c r="A76" s="44"/>
      <c r="B76" s="44"/>
      <c r="C76" s="44"/>
      <c r="D76" s="44"/>
      <c r="E76" s="44"/>
      <c r="F76" s="44"/>
      <c r="G76" s="44"/>
      <c r="H76" s="44"/>
      <c r="I76" s="47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 ht="26.25" customHeight="1">
      <c r="A77" s="44"/>
      <c r="B77" s="44"/>
      <c r="C77" s="44"/>
      <c r="D77" s="44"/>
      <c r="E77" s="44"/>
      <c r="F77" s="44"/>
      <c r="G77" s="44"/>
      <c r="H77" s="44"/>
      <c r="I77" s="47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 ht="26.25" customHeight="1">
      <c r="A78" s="44"/>
      <c r="B78" s="44"/>
      <c r="C78" s="44"/>
      <c r="D78" s="44"/>
      <c r="E78" s="44"/>
      <c r="F78" s="44"/>
      <c r="G78" s="44"/>
      <c r="H78" s="44"/>
      <c r="I78" s="47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 ht="26.25" customHeight="1">
      <c r="A79" s="44"/>
      <c r="B79" s="44"/>
      <c r="C79" s="44"/>
      <c r="D79" s="44"/>
      <c r="E79" s="44"/>
      <c r="F79" s="44"/>
      <c r="G79" s="44"/>
      <c r="H79" s="44"/>
      <c r="I79" s="47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 ht="26.25" customHeight="1">
      <c r="A80" s="44"/>
      <c r="B80" s="44"/>
      <c r="C80" s="44"/>
      <c r="D80" s="44"/>
      <c r="E80" s="44"/>
      <c r="F80" s="44"/>
      <c r="G80" s="44"/>
      <c r="H80" s="44"/>
      <c r="I80" s="47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 ht="26.25" customHeight="1">
      <c r="A81" s="44"/>
      <c r="B81" s="44"/>
      <c r="C81" s="44"/>
      <c r="D81" s="44"/>
      <c r="E81" s="44"/>
      <c r="F81" s="44"/>
      <c r="G81" s="44"/>
      <c r="H81" s="44"/>
      <c r="I81" s="47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 ht="26.25" customHeight="1">
      <c r="A82" s="44"/>
      <c r="B82" s="44"/>
      <c r="C82" s="44"/>
      <c r="D82" s="44"/>
      <c r="E82" s="44"/>
      <c r="F82" s="44"/>
      <c r="G82" s="44"/>
      <c r="H82" s="44"/>
      <c r="I82" s="47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 ht="26.25" customHeight="1">
      <c r="A83" s="44"/>
      <c r="B83" s="44"/>
      <c r="C83" s="44"/>
      <c r="D83" s="44"/>
      <c r="E83" s="44"/>
      <c r="F83" s="44"/>
      <c r="G83" s="44"/>
      <c r="H83" s="44"/>
      <c r="I83" s="47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 ht="26.25" customHeight="1">
      <c r="A84" s="44"/>
      <c r="B84" s="44"/>
      <c r="C84" s="44"/>
      <c r="D84" s="44"/>
      <c r="E84" s="44"/>
      <c r="F84" s="44"/>
      <c r="G84" s="44"/>
      <c r="H84" s="44"/>
      <c r="I84" s="47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 ht="26.25" customHeight="1">
      <c r="A85" s="44"/>
      <c r="B85" s="44"/>
      <c r="C85" s="44"/>
      <c r="D85" s="44"/>
      <c r="E85" s="44"/>
      <c r="F85" s="44"/>
      <c r="G85" s="44"/>
      <c r="H85" s="44"/>
      <c r="I85" s="47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 ht="26.25" customHeight="1">
      <c r="A86" s="44"/>
      <c r="B86" s="44"/>
      <c r="C86" s="44"/>
      <c r="D86" s="44"/>
      <c r="E86" s="44"/>
      <c r="F86" s="44"/>
      <c r="G86" s="44"/>
      <c r="H86" s="44"/>
      <c r="I86" s="47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 ht="26.25" customHeight="1">
      <c r="A87" s="44"/>
      <c r="B87" s="44"/>
      <c r="C87" s="44"/>
      <c r="D87" s="44"/>
      <c r="E87" s="44"/>
      <c r="F87" s="44"/>
      <c r="G87" s="44"/>
      <c r="H87" s="44"/>
      <c r="I87" s="47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 ht="26.25" customHeight="1">
      <c r="A88" s="44"/>
      <c r="B88" s="44"/>
      <c r="C88" s="44"/>
      <c r="D88" s="44"/>
      <c r="E88" s="44"/>
      <c r="F88" s="44"/>
      <c r="G88" s="44"/>
      <c r="H88" s="44"/>
      <c r="I88" s="47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 ht="26.25" customHeight="1">
      <c r="A89" s="44"/>
      <c r="B89" s="44"/>
      <c r="C89" s="44"/>
      <c r="D89" s="44"/>
      <c r="E89" s="44"/>
      <c r="F89" s="44"/>
      <c r="G89" s="44"/>
      <c r="H89" s="44"/>
      <c r="I89" s="47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 ht="26.25" customHeight="1">
      <c r="A90" s="44"/>
      <c r="B90" s="44"/>
      <c r="C90" s="44"/>
      <c r="D90" s="44"/>
      <c r="E90" s="44"/>
      <c r="F90" s="44"/>
      <c r="G90" s="44"/>
      <c r="H90" s="44"/>
      <c r="I90" s="47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 ht="26.25" customHeight="1">
      <c r="A91" s="44"/>
      <c r="B91" s="44"/>
      <c r="C91" s="44"/>
      <c r="D91" s="44"/>
      <c r="E91" s="44"/>
      <c r="F91" s="44"/>
      <c r="G91" s="44"/>
      <c r="H91" s="44"/>
      <c r="I91" s="47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 ht="26.25" customHeight="1">
      <c r="A92" s="44"/>
      <c r="B92" s="44"/>
      <c r="C92" s="44"/>
      <c r="D92" s="44"/>
      <c r="E92" s="44"/>
      <c r="F92" s="44"/>
      <c r="G92" s="44"/>
      <c r="H92" s="44"/>
      <c r="I92" s="47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 ht="26.25" customHeight="1">
      <c r="A93" s="44"/>
      <c r="B93" s="44"/>
      <c r="C93" s="44"/>
      <c r="D93" s="44"/>
      <c r="E93" s="44"/>
      <c r="F93" s="44"/>
      <c r="G93" s="44"/>
      <c r="H93" s="44"/>
      <c r="I93" s="47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 ht="26.25" customHeight="1">
      <c r="A94" s="44"/>
      <c r="B94" s="44"/>
      <c r="C94" s="44"/>
      <c r="D94" s="44"/>
      <c r="E94" s="44"/>
      <c r="F94" s="44"/>
      <c r="G94" s="44"/>
      <c r="H94" s="44"/>
      <c r="I94" s="47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 ht="26.25" customHeight="1">
      <c r="A95" s="44"/>
      <c r="B95" s="44"/>
      <c r="C95" s="44"/>
      <c r="D95" s="44"/>
      <c r="E95" s="44"/>
      <c r="F95" s="44"/>
      <c r="G95" s="44"/>
      <c r="H95" s="44"/>
      <c r="I95" s="47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 ht="26.25" customHeight="1">
      <c r="A96" s="44"/>
      <c r="B96" s="44"/>
      <c r="C96" s="44"/>
      <c r="D96" s="44"/>
      <c r="E96" s="44"/>
      <c r="F96" s="44"/>
      <c r="G96" s="44"/>
      <c r="H96" s="44"/>
      <c r="I96" s="47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 ht="26.25" customHeight="1">
      <c r="A97" s="44"/>
      <c r="B97" s="44"/>
      <c r="C97" s="44"/>
      <c r="D97" s="44"/>
      <c r="E97" s="44"/>
      <c r="F97" s="44"/>
      <c r="G97" s="44"/>
      <c r="H97" s="44"/>
      <c r="I97" s="47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 ht="26.25" customHeight="1">
      <c r="A98" s="44"/>
      <c r="B98" s="44"/>
      <c r="C98" s="44"/>
      <c r="D98" s="44"/>
      <c r="E98" s="44"/>
      <c r="F98" s="44"/>
      <c r="G98" s="44"/>
      <c r="H98" s="44"/>
      <c r="I98" s="47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 ht="26.25" customHeight="1">
      <c r="A99" s="44"/>
      <c r="B99" s="44"/>
      <c r="C99" s="44"/>
      <c r="D99" s="44"/>
      <c r="E99" s="44"/>
      <c r="F99" s="44"/>
      <c r="G99" s="44"/>
      <c r="H99" s="44"/>
      <c r="I99" s="47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 ht="26.25" customHeight="1">
      <c r="A100" s="44"/>
      <c r="B100" s="44"/>
      <c r="C100" s="44"/>
      <c r="D100" s="44"/>
      <c r="E100" s="44"/>
      <c r="F100" s="44"/>
      <c r="G100" s="44"/>
      <c r="H100" s="44"/>
      <c r="I100" s="47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</sheetData>
  <mergeCells count="10">
    <mergeCell ref="A14:A15"/>
    <mergeCell ref="A16:A17"/>
    <mergeCell ref="A18:A19"/>
    <mergeCell ref="A1:F1"/>
    <mergeCell ref="A3:B3"/>
    <mergeCell ref="A8:A9"/>
    <mergeCell ref="A6:A7"/>
    <mergeCell ref="A10:A11"/>
    <mergeCell ref="A12:A13"/>
    <mergeCell ref="C3:D3"/>
  </mergeCells>
  <dataValidations>
    <dataValidation type="list" allowBlank="1" showErrorMessage="1" sqref="I1">
      <formula1>$O$4:$O$31</formula1>
    </dataValidation>
  </dataValidations>
  <printOptions/>
  <pageMargins bottom="0.5905511811023623" footer="0.0" header="0.0" left="0.5905511811023623" right="0.5905511811023623" top="0.8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2" width="8.71"/>
  </cols>
  <sheetData>
    <row r="1" ht="16.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</row>
    <row r="2" ht="18.0" customHeight="1">
      <c r="A2" s="79"/>
      <c r="B2" s="80" t="s">
        <v>136</v>
      </c>
      <c r="C2" s="81" t="s">
        <v>137</v>
      </c>
      <c r="D2" s="82" t="s">
        <v>138</v>
      </c>
      <c r="E2" s="82" t="s">
        <v>139</v>
      </c>
      <c r="F2" s="82" t="s">
        <v>140</v>
      </c>
      <c r="G2" s="82" t="s">
        <v>141</v>
      </c>
      <c r="H2" s="82" t="s">
        <v>142</v>
      </c>
      <c r="I2" s="82" t="s">
        <v>143</v>
      </c>
      <c r="J2" s="82" t="s">
        <v>144</v>
      </c>
      <c r="K2" s="83" t="s">
        <v>145</v>
      </c>
      <c r="L2" s="77"/>
      <c r="M2" s="77"/>
    </row>
    <row r="3" ht="18.0" customHeight="1">
      <c r="A3" s="79"/>
      <c r="B3" s="84" t="s">
        <v>146</v>
      </c>
      <c r="C3" s="85" t="s">
        <v>147</v>
      </c>
      <c r="D3" s="86" t="s">
        <v>148</v>
      </c>
      <c r="E3" s="87" t="s">
        <v>149</v>
      </c>
      <c r="F3" s="86" t="s">
        <v>150</v>
      </c>
      <c r="G3" s="86" t="s">
        <v>151</v>
      </c>
      <c r="H3" s="86" t="s">
        <v>152</v>
      </c>
      <c r="I3" s="86" t="s">
        <v>153</v>
      </c>
      <c r="J3" s="86" t="s">
        <v>154</v>
      </c>
      <c r="K3" s="88" t="s">
        <v>151</v>
      </c>
      <c r="L3" s="77"/>
      <c r="M3" s="77"/>
    </row>
    <row r="4" ht="18.0" customHeight="1">
      <c r="A4" s="79"/>
      <c r="B4" s="89" t="s">
        <v>155</v>
      </c>
      <c r="C4" s="90" t="s">
        <v>156</v>
      </c>
      <c r="D4" s="91" t="s">
        <v>157</v>
      </c>
      <c r="E4" s="92" t="s">
        <v>150</v>
      </c>
      <c r="F4" s="92" t="s">
        <v>148</v>
      </c>
      <c r="G4" s="92" t="s">
        <v>158</v>
      </c>
      <c r="H4" s="92" t="s">
        <v>159</v>
      </c>
      <c r="I4" s="92" t="s">
        <v>158</v>
      </c>
      <c r="J4" s="91" t="s">
        <v>160</v>
      </c>
      <c r="K4" s="93" t="s">
        <v>153</v>
      </c>
      <c r="L4" s="77"/>
      <c r="M4" s="77"/>
    </row>
    <row r="5" ht="18.0" customHeight="1">
      <c r="A5" s="79"/>
      <c r="B5" s="89" t="s">
        <v>161</v>
      </c>
      <c r="C5" s="94" t="s">
        <v>160</v>
      </c>
      <c r="D5" s="92" t="s">
        <v>150</v>
      </c>
      <c r="E5" s="92" t="s">
        <v>158</v>
      </c>
      <c r="F5" s="92" t="s">
        <v>153</v>
      </c>
      <c r="G5" s="92" t="s">
        <v>162</v>
      </c>
      <c r="H5" s="92" t="s">
        <v>151</v>
      </c>
      <c r="I5" s="92" t="s">
        <v>150</v>
      </c>
      <c r="J5" s="92" t="s">
        <v>163</v>
      </c>
      <c r="K5" s="93" t="s">
        <v>154</v>
      </c>
      <c r="L5" s="77"/>
      <c r="M5" s="77"/>
    </row>
    <row r="6" ht="18.0" customHeight="1">
      <c r="A6" s="79"/>
      <c r="B6" s="89" t="s">
        <v>164</v>
      </c>
      <c r="C6" s="90" t="s">
        <v>153</v>
      </c>
      <c r="D6" s="91" t="s">
        <v>149</v>
      </c>
      <c r="E6" s="92" t="s">
        <v>148</v>
      </c>
      <c r="F6" s="91" t="s">
        <v>157</v>
      </c>
      <c r="G6" s="92" t="s">
        <v>165</v>
      </c>
      <c r="H6" s="92" t="s">
        <v>156</v>
      </c>
      <c r="I6" s="92" t="s">
        <v>154</v>
      </c>
      <c r="J6" s="92" t="s">
        <v>151</v>
      </c>
      <c r="K6" s="93" t="s">
        <v>158</v>
      </c>
      <c r="L6" s="77"/>
      <c r="M6" s="77"/>
    </row>
    <row r="7" ht="18.0" customHeight="1">
      <c r="A7" s="79"/>
      <c r="B7" s="89" t="s">
        <v>166</v>
      </c>
      <c r="C7" s="90" t="s">
        <v>151</v>
      </c>
      <c r="D7" s="91" t="s">
        <v>160</v>
      </c>
      <c r="E7" s="92" t="s">
        <v>153</v>
      </c>
      <c r="F7" s="92" t="s">
        <v>158</v>
      </c>
      <c r="G7" s="92" t="s">
        <v>156</v>
      </c>
      <c r="H7" s="92" t="s">
        <v>150</v>
      </c>
      <c r="I7" s="92" t="s">
        <v>159</v>
      </c>
      <c r="J7" s="92" t="s">
        <v>147</v>
      </c>
      <c r="K7" s="93" t="s">
        <v>167</v>
      </c>
      <c r="L7" s="77"/>
      <c r="M7" s="77"/>
    </row>
    <row r="8" ht="18.0" customHeight="1">
      <c r="A8" s="79"/>
      <c r="B8" s="89" t="s">
        <v>168</v>
      </c>
      <c r="C8" s="90" t="s">
        <v>148</v>
      </c>
      <c r="D8" s="92" t="s">
        <v>153</v>
      </c>
      <c r="E8" s="92" t="s">
        <v>151</v>
      </c>
      <c r="F8" s="92" t="s">
        <v>154</v>
      </c>
      <c r="G8" s="91" t="s">
        <v>157</v>
      </c>
      <c r="H8" s="92" t="s">
        <v>158</v>
      </c>
      <c r="I8" s="92" t="s">
        <v>162</v>
      </c>
      <c r="J8" s="92" t="s">
        <v>150</v>
      </c>
      <c r="K8" s="93" t="s">
        <v>150</v>
      </c>
      <c r="L8" s="77"/>
      <c r="M8" s="77"/>
    </row>
    <row r="9" ht="18.0" customHeight="1">
      <c r="A9" s="79"/>
      <c r="B9" s="89" t="s">
        <v>169</v>
      </c>
      <c r="C9" s="90" t="s">
        <v>158</v>
      </c>
      <c r="D9" s="92" t="s">
        <v>158</v>
      </c>
      <c r="E9" s="92" t="s">
        <v>152</v>
      </c>
      <c r="F9" s="92" t="s">
        <v>159</v>
      </c>
      <c r="G9" s="92" t="s">
        <v>150</v>
      </c>
      <c r="H9" s="92" t="s">
        <v>153</v>
      </c>
      <c r="I9" s="92" t="s">
        <v>151</v>
      </c>
      <c r="J9" s="92" t="s">
        <v>148</v>
      </c>
      <c r="K9" s="95" t="s">
        <v>160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</row>
    <row r="10" ht="18.0" customHeight="1">
      <c r="A10" s="77"/>
      <c r="B10" s="96" t="s">
        <v>170</v>
      </c>
      <c r="C10" s="97" t="s">
        <v>150</v>
      </c>
      <c r="D10" s="98" t="s">
        <v>151</v>
      </c>
      <c r="E10" s="98" t="s">
        <v>156</v>
      </c>
      <c r="F10" s="98" t="s">
        <v>151</v>
      </c>
      <c r="G10" s="98" t="s">
        <v>153</v>
      </c>
      <c r="H10" s="98" t="s">
        <v>154</v>
      </c>
      <c r="I10" s="98" t="s">
        <v>171</v>
      </c>
      <c r="J10" s="98" t="s">
        <v>158</v>
      </c>
      <c r="K10" s="99" t="s">
        <v>148</v>
      </c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</row>
    <row r="11" ht="16.5" customHeight="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ht="16.5" customHeight="1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</row>
    <row r="13" ht="16.5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8"/>
    </row>
    <row r="14" ht="16.5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</row>
    <row r="15" ht="16.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</row>
    <row r="16" ht="18.0" customHeight="1">
      <c r="A16" s="77"/>
      <c r="B16" s="80" t="s">
        <v>172</v>
      </c>
      <c r="C16" s="81" t="s">
        <v>137</v>
      </c>
      <c r="D16" s="82" t="s">
        <v>138</v>
      </c>
      <c r="E16" s="82" t="s">
        <v>139</v>
      </c>
      <c r="F16" s="82" t="s">
        <v>140</v>
      </c>
      <c r="G16" s="82" t="s">
        <v>141</v>
      </c>
      <c r="H16" s="82" t="s">
        <v>142</v>
      </c>
      <c r="I16" s="82" t="s">
        <v>143</v>
      </c>
      <c r="J16" s="82" t="s">
        <v>144</v>
      </c>
      <c r="K16" s="100" t="s">
        <v>145</v>
      </c>
      <c r="L16" s="83" t="s">
        <v>173</v>
      </c>
      <c r="M16" s="77"/>
    </row>
    <row r="17" ht="18.0" customHeight="1">
      <c r="A17" s="77"/>
      <c r="B17" s="84" t="s">
        <v>146</v>
      </c>
      <c r="C17" s="101" t="s">
        <v>174</v>
      </c>
      <c r="D17" s="102" t="s">
        <v>175</v>
      </c>
      <c r="E17" s="102" t="s">
        <v>175</v>
      </c>
      <c r="F17" s="102" t="s">
        <v>176</v>
      </c>
      <c r="G17" s="102" t="s">
        <v>177</v>
      </c>
      <c r="H17" s="102" t="s">
        <v>178</v>
      </c>
      <c r="I17" s="102" t="s">
        <v>179</v>
      </c>
      <c r="J17" s="102" t="s">
        <v>180</v>
      </c>
      <c r="K17" s="102" t="s">
        <v>178</v>
      </c>
      <c r="L17" s="103"/>
      <c r="M17" s="77"/>
    </row>
    <row r="18" ht="18.0" customHeight="1">
      <c r="A18" s="77"/>
      <c r="B18" s="89" t="s">
        <v>155</v>
      </c>
      <c r="C18" s="104" t="s">
        <v>181</v>
      </c>
      <c r="D18" s="105" t="s">
        <v>174</v>
      </c>
      <c r="E18" s="105" t="s">
        <v>182</v>
      </c>
      <c r="F18" s="105" t="s">
        <v>180</v>
      </c>
      <c r="G18" s="105" t="s">
        <v>176</v>
      </c>
      <c r="H18" s="105" t="s">
        <v>174</v>
      </c>
      <c r="I18" s="105" t="s">
        <v>183</v>
      </c>
      <c r="J18" s="105" t="s">
        <v>178</v>
      </c>
      <c r="K18" s="105" t="s">
        <v>179</v>
      </c>
      <c r="L18" s="106"/>
      <c r="M18" s="77"/>
    </row>
    <row r="19" ht="18.0" customHeight="1">
      <c r="A19" s="77"/>
      <c r="B19" s="89" t="s">
        <v>161</v>
      </c>
      <c r="C19" s="104" t="s">
        <v>180</v>
      </c>
      <c r="D19" s="105" t="s">
        <v>182</v>
      </c>
      <c r="E19" s="105" t="s">
        <v>174</v>
      </c>
      <c r="F19" s="105" t="s">
        <v>178</v>
      </c>
      <c r="G19" s="105" t="s">
        <v>180</v>
      </c>
      <c r="H19" s="105" t="s">
        <v>177</v>
      </c>
      <c r="I19" s="105" t="s">
        <v>178</v>
      </c>
      <c r="J19" s="105" t="s">
        <v>175</v>
      </c>
      <c r="K19" s="105" t="s">
        <v>183</v>
      </c>
      <c r="L19" s="106"/>
      <c r="M19" s="77"/>
    </row>
    <row r="20" ht="18.0" customHeight="1">
      <c r="A20" s="77"/>
      <c r="B20" s="89" t="s">
        <v>164</v>
      </c>
      <c r="C20" s="104" t="s">
        <v>182</v>
      </c>
      <c r="D20" s="105" t="s">
        <v>181</v>
      </c>
      <c r="E20" s="105" t="s">
        <v>178</v>
      </c>
      <c r="F20" s="105" t="s">
        <v>174</v>
      </c>
      <c r="G20" s="105" t="s">
        <v>174</v>
      </c>
      <c r="H20" s="105" t="s">
        <v>176</v>
      </c>
      <c r="I20" s="105" t="s">
        <v>175</v>
      </c>
      <c r="J20" s="105" t="s">
        <v>179</v>
      </c>
      <c r="K20" s="105" t="s">
        <v>180</v>
      </c>
      <c r="L20" s="106" t="s">
        <v>175</v>
      </c>
      <c r="M20" s="77"/>
    </row>
    <row r="21" ht="18.0" customHeight="1">
      <c r="A21" s="77"/>
      <c r="B21" s="89" t="s">
        <v>166</v>
      </c>
      <c r="C21" s="104" t="s">
        <v>184</v>
      </c>
      <c r="D21" s="105" t="s">
        <v>185</v>
      </c>
      <c r="E21" s="105" t="s">
        <v>186</v>
      </c>
      <c r="F21" s="105" t="s">
        <v>187</v>
      </c>
      <c r="G21" s="105" t="s">
        <v>187</v>
      </c>
      <c r="H21" s="105" t="s">
        <v>188</v>
      </c>
      <c r="I21" s="105" t="s">
        <v>189</v>
      </c>
      <c r="J21" s="105" t="s">
        <v>190</v>
      </c>
      <c r="K21" s="105" t="s">
        <v>191</v>
      </c>
      <c r="L21" s="106"/>
      <c r="M21" s="77"/>
      <c r="N21" s="77"/>
      <c r="O21" s="77"/>
      <c r="P21" s="77"/>
      <c r="Q21" s="77"/>
      <c r="R21" s="77"/>
      <c r="S21" s="77"/>
      <c r="T21" s="77"/>
      <c r="U21" s="77"/>
      <c r="V21" s="77"/>
    </row>
    <row r="22" ht="18.0" customHeight="1">
      <c r="A22" s="77"/>
      <c r="B22" s="89" t="s">
        <v>168</v>
      </c>
      <c r="C22" s="104" t="s">
        <v>192</v>
      </c>
      <c r="D22" s="105" t="s">
        <v>184</v>
      </c>
      <c r="E22" s="105" t="s">
        <v>185</v>
      </c>
      <c r="F22" s="105" t="s">
        <v>188</v>
      </c>
      <c r="G22" s="105" t="s">
        <v>190</v>
      </c>
      <c r="H22" s="105" t="s">
        <v>189</v>
      </c>
      <c r="I22" s="105" t="s">
        <v>190</v>
      </c>
      <c r="J22" s="105" t="s">
        <v>191</v>
      </c>
      <c r="K22" s="105" t="s">
        <v>193</v>
      </c>
      <c r="L22" s="106"/>
      <c r="M22" s="77"/>
      <c r="N22" s="77"/>
      <c r="O22" s="77"/>
      <c r="P22" s="77"/>
      <c r="Q22" s="77"/>
      <c r="R22" s="77"/>
      <c r="S22" s="77"/>
      <c r="T22" s="77"/>
      <c r="U22" s="77"/>
      <c r="V22" s="77"/>
    </row>
    <row r="23" ht="18.0" customHeight="1">
      <c r="A23" s="77"/>
      <c r="B23" s="96" t="s">
        <v>169</v>
      </c>
      <c r="C23" s="107" t="s">
        <v>185</v>
      </c>
      <c r="D23" s="108" t="s">
        <v>194</v>
      </c>
      <c r="E23" s="108" t="s">
        <v>184</v>
      </c>
      <c r="F23" s="108" t="s">
        <v>190</v>
      </c>
      <c r="G23" s="108" t="s">
        <v>189</v>
      </c>
      <c r="H23" s="108" t="s">
        <v>187</v>
      </c>
      <c r="I23" s="108" t="s">
        <v>193</v>
      </c>
      <c r="J23" s="108" t="s">
        <v>187</v>
      </c>
      <c r="K23" s="108" t="s">
        <v>190</v>
      </c>
      <c r="L23" s="109" t="s">
        <v>186</v>
      </c>
      <c r="M23" s="77"/>
      <c r="N23" s="77"/>
      <c r="O23" s="77"/>
      <c r="P23" s="77"/>
      <c r="Q23" s="77"/>
      <c r="R23" s="77"/>
      <c r="S23" s="77"/>
      <c r="T23" s="77"/>
      <c r="U23" s="77"/>
      <c r="V23" s="77"/>
    </row>
    <row r="24" ht="16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</row>
    <row r="25" ht="16.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ht="16.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</row>
    <row r="27" ht="16.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</row>
    <row r="28" ht="16.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ht="16.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</row>
    <row r="30" ht="16.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</row>
    <row r="31" ht="16.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</row>
    <row r="32" ht="16.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</row>
    <row r="33" ht="16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</row>
    <row r="34" ht="16.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ht="16.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</row>
    <row r="36" ht="16.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</row>
    <row r="37" ht="16.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</row>
    <row r="38" ht="16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</row>
    <row r="39" ht="16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</row>
    <row r="40" ht="16.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</row>
    <row r="41" ht="16.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</row>
    <row r="42" ht="16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ht="16.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</row>
    <row r="44" ht="16.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</row>
    <row r="45" ht="16.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</row>
    <row r="46" ht="16.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</row>
    <row r="47" ht="16.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</row>
    <row r="48" ht="16.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</row>
    <row r="49" ht="16.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</row>
    <row r="50" ht="16.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</row>
    <row r="51" ht="16.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</row>
    <row r="52" ht="16.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</row>
    <row r="53" ht="16.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</row>
    <row r="54" ht="16.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</row>
    <row r="55" ht="16.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</row>
    <row r="56" ht="16.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</row>
    <row r="57" ht="16.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</row>
    <row r="58" ht="16.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</row>
    <row r="59" ht="16.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</row>
    <row r="60" ht="16.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</row>
    <row r="61" ht="16.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</row>
    <row r="62" ht="16.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</row>
    <row r="63" ht="16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</row>
    <row r="64" ht="16.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</row>
    <row r="65" ht="16.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</row>
    <row r="66" ht="16.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</row>
    <row r="67" ht="16.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</row>
    <row r="68" ht="16.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</row>
    <row r="69" ht="16.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</row>
    <row r="70" ht="16.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</row>
    <row r="71" ht="16.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</row>
    <row r="72" ht="16.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</row>
    <row r="73" ht="16.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</row>
    <row r="74" ht="16.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</row>
    <row r="75" ht="16.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</row>
    <row r="76" ht="16.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</row>
    <row r="77" ht="16.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</row>
    <row r="78" ht="16.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</row>
    <row r="79" ht="16.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</row>
    <row r="80" ht="16.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</row>
    <row r="81" ht="16.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</row>
    <row r="82" ht="16.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</row>
    <row r="83" ht="16.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</row>
    <row r="84" ht="16.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</row>
    <row r="85" ht="16.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</row>
    <row r="86" ht="16.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</row>
    <row r="87" ht="16.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</row>
    <row r="88" ht="16.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</row>
    <row r="89" ht="16.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</row>
    <row r="90" ht="16.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</row>
    <row r="91" ht="16.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</row>
    <row r="92" ht="16.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</row>
    <row r="93" ht="16.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</row>
    <row r="94" ht="16.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</row>
    <row r="95" ht="16.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</row>
    <row r="96" ht="16.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</row>
    <row r="97" ht="16.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</row>
    <row r="98" ht="16.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</row>
    <row r="99" ht="16.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</row>
    <row r="100" ht="16.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</row>
  </sheetData>
  <mergeCells count="2">
    <mergeCell ref="N1:V8"/>
    <mergeCell ref="N13:V20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8.71"/>
    <col customWidth="1" min="3" max="11" width="8.71"/>
  </cols>
  <sheetData>
    <row r="1" ht="16.5" customHeight="1"/>
    <row r="2" ht="169.5" customHeight="1">
      <c r="A2">
        <v>101.0</v>
      </c>
    </row>
    <row r="3" ht="169.5" customHeight="1">
      <c r="A3">
        <v>102.0</v>
      </c>
    </row>
    <row r="4" ht="169.5" customHeight="1">
      <c r="A4">
        <v>103.0</v>
      </c>
    </row>
    <row r="5" ht="169.5" customHeight="1">
      <c r="A5">
        <v>104.0</v>
      </c>
    </row>
    <row r="6" ht="169.5" customHeight="1">
      <c r="A6">
        <v>105.0</v>
      </c>
    </row>
    <row r="7" ht="169.5" customHeight="1">
      <c r="A7">
        <v>106.0</v>
      </c>
    </row>
    <row r="8" ht="169.5" customHeight="1">
      <c r="A8">
        <v>107.0</v>
      </c>
    </row>
    <row r="9" ht="169.5" customHeight="1">
      <c r="A9">
        <v>108.0</v>
      </c>
    </row>
    <row r="10" ht="169.5" customHeight="1">
      <c r="A10">
        <v>109.0</v>
      </c>
    </row>
    <row r="11" ht="16.5" customHeight="1"/>
    <row r="12" ht="169.5" customHeight="1">
      <c r="A12">
        <v>201.0</v>
      </c>
      <c r="B12" s="110" t="s">
        <v>195</v>
      </c>
    </row>
    <row r="13" ht="169.5" customHeight="1">
      <c r="A13">
        <v>202.0</v>
      </c>
      <c r="B13" s="110" t="s">
        <v>195</v>
      </c>
    </row>
    <row r="14" ht="169.5" customHeight="1">
      <c r="A14">
        <v>203.0</v>
      </c>
      <c r="B14" s="110" t="s">
        <v>195</v>
      </c>
    </row>
    <row r="15" ht="169.5" customHeight="1">
      <c r="A15">
        <v>204.0</v>
      </c>
      <c r="B15" s="110" t="s">
        <v>195</v>
      </c>
    </row>
    <row r="16" ht="169.5" customHeight="1">
      <c r="A16">
        <v>205.0</v>
      </c>
      <c r="B16" s="110" t="s">
        <v>195</v>
      </c>
    </row>
    <row r="17" ht="169.5" customHeight="1">
      <c r="A17">
        <v>206.0</v>
      </c>
      <c r="B17" s="110" t="s">
        <v>195</v>
      </c>
    </row>
    <row r="18" ht="169.5" customHeight="1">
      <c r="A18">
        <v>207.0</v>
      </c>
      <c r="B18" s="110" t="s">
        <v>195</v>
      </c>
    </row>
    <row r="19" ht="169.5" customHeight="1">
      <c r="A19">
        <v>208.0</v>
      </c>
      <c r="B19" s="110" t="s">
        <v>195</v>
      </c>
    </row>
    <row r="20" ht="169.5" customHeight="1">
      <c r="A20">
        <v>209.0</v>
      </c>
      <c r="B20" s="110" t="s">
        <v>195</v>
      </c>
    </row>
    <row r="21" ht="16.5" customHeight="1"/>
    <row r="22" ht="169.5" customHeight="1">
      <c r="A22">
        <v>301.0</v>
      </c>
      <c r="B22" s="110" t="s">
        <v>195</v>
      </c>
    </row>
    <row r="23" ht="169.5" customHeight="1">
      <c r="A23">
        <v>302.0</v>
      </c>
      <c r="B23" s="110" t="s">
        <v>195</v>
      </c>
    </row>
    <row r="24" ht="169.5" customHeight="1">
      <c r="A24">
        <v>303.0</v>
      </c>
      <c r="B24" s="110" t="s">
        <v>195</v>
      </c>
    </row>
    <row r="25" ht="169.5" customHeight="1">
      <c r="A25">
        <v>304.0</v>
      </c>
      <c r="B25" s="110" t="s">
        <v>195</v>
      </c>
    </row>
    <row r="26" ht="169.5" customHeight="1">
      <c r="A26">
        <v>305.0</v>
      </c>
      <c r="B26" s="110" t="s">
        <v>195</v>
      </c>
    </row>
    <row r="27" ht="169.5" customHeight="1">
      <c r="A27">
        <v>306.0</v>
      </c>
      <c r="B27" s="110" t="s">
        <v>195</v>
      </c>
    </row>
    <row r="28" ht="169.5" customHeight="1">
      <c r="A28">
        <v>307.0</v>
      </c>
      <c r="B28" s="110" t="s">
        <v>195</v>
      </c>
    </row>
    <row r="29" ht="169.5" customHeight="1">
      <c r="A29">
        <v>308.0</v>
      </c>
      <c r="B29" s="110" t="s">
        <v>195</v>
      </c>
    </row>
    <row r="30" ht="169.5" customHeight="1">
      <c r="A30">
        <v>309.0</v>
      </c>
      <c r="B30" s="110" t="s">
        <v>195</v>
      </c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baseType="lpstr" size="5">
      <vt:lpstr>학반 시간표</vt:lpstr>
      <vt:lpstr>출력</vt:lpstr>
      <vt:lpstr>선택과목 묶음</vt:lpstr>
      <vt:lpstr>Sheet2</vt:lpstr>
      <vt:lpstr>출력!Print_Area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2025-04-01T01:16:12Z</dcterms:created>
  <dc:creator>teacher</dc:creator>
  <cp:lastModifiedBy>이창근</cp:lastModifiedBy>
  <cp:lastPrinted>2026-02-27T05:26:29Z</cp:lastPrinted>
  <dcterms:modified xsi:type="dcterms:W3CDTF">2026-02-27T05:26:54Z</dcterms:modified>
</cp:coreProperties>
</file>